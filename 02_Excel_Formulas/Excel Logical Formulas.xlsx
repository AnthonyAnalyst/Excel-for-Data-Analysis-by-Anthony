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\Desktop\OLARA ANTHONY ANALYSIS\excel for data analytics\DATA SET\"/>
    </mc:Choice>
  </mc:AlternateContent>
  <xr:revisionPtr revIDLastSave="0" documentId="13_ncr:1_{EE4D6CC9-D2A2-408D-B3B1-1F614436A4DA}" xr6:coauthVersionLast="47" xr6:coauthVersionMax="47" xr10:uidLastSave="{00000000-0000-0000-0000-000000000000}"/>
  <bookViews>
    <workbookView xWindow="-120" yWindow="-120" windowWidth="20730" windowHeight="11160" firstSheet="8" activeTab="9" xr2:uid="{339C496C-E5CF-4F4E-9FC3-DEC819E1A5F6}"/>
  </bookViews>
  <sheets>
    <sheet name="IF" sheetId="1" r:id="rId1"/>
    <sheet name="AND" sheetId="2" r:id="rId2"/>
    <sheet name="OR" sheetId="3" r:id="rId3"/>
    <sheet name="IFS" sheetId="4" r:id="rId4"/>
    <sheet name="SUMIF" sheetId="5" r:id="rId5"/>
    <sheet name="SUMIFS" sheetId="6" r:id="rId6"/>
    <sheet name="COUNTIF" sheetId="7" r:id="rId7"/>
    <sheet name="COUNTIFS" sheetId="8" r:id="rId8"/>
    <sheet name="AVERAGEIF" sheetId="9" r:id="rId9"/>
    <sheet name="AVERAGEIF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0" l="1"/>
  <c r="N9" i="10"/>
  <c r="N10" i="10"/>
  <c r="N7" i="10"/>
  <c r="M8" i="10"/>
  <c r="M9" i="10"/>
  <c r="M10" i="10"/>
  <c r="M7" i="10"/>
  <c r="L8" i="10"/>
  <c r="L9" i="10"/>
  <c r="L10" i="10"/>
  <c r="L7" i="10"/>
  <c r="K8" i="10"/>
  <c r="K9" i="10"/>
  <c r="K10" i="10"/>
  <c r="K7" i="10"/>
  <c r="M13" i="8"/>
  <c r="L13" i="8"/>
  <c r="K6" i="9"/>
  <c r="L6" i="8"/>
  <c r="O9" i="8"/>
  <c r="O8" i="8"/>
  <c r="O7" i="8"/>
  <c r="O6" i="8"/>
  <c r="N6" i="8"/>
  <c r="N7" i="8"/>
  <c r="N8" i="8"/>
  <c r="N9" i="8"/>
  <c r="M9" i="8"/>
  <c r="M8" i="8"/>
  <c r="M7" i="8"/>
  <c r="M6" i="8"/>
  <c r="L8" i="8"/>
  <c r="L9" i="8"/>
  <c r="L7" i="8"/>
  <c r="M10" i="7"/>
  <c r="M11" i="7"/>
  <c r="M12" i="7"/>
  <c r="M9" i="7"/>
  <c r="M5" i="7"/>
  <c r="M6" i="7"/>
  <c r="M7" i="7"/>
  <c r="M4" i="7"/>
  <c r="J6" i="7"/>
  <c r="J4" i="7"/>
  <c r="M3" i="4" a="1"/>
  <c r="M3" i="4"/>
  <c r="M4" i="4" a="1"/>
  <c r="M4" i="4"/>
  <c r="M5" i="4" a="1"/>
  <c r="M5" i="4"/>
  <c r="M6" i="4" a="1"/>
  <c r="M6" i="4"/>
  <c r="M7" i="4" a="1"/>
  <c r="M7" i="4"/>
  <c r="M8" i="4" a="1"/>
  <c r="M8" i="4"/>
  <c r="M9" i="4" a="1"/>
  <c r="M9" i="4"/>
  <c r="M10" i="4" a="1"/>
  <c r="M10" i="4"/>
  <c r="M11" i="4" a="1"/>
  <c r="M11" i="4"/>
  <c r="M12" i="4" a="1"/>
  <c r="M12" i="4"/>
  <c r="M13" i="4" a="1"/>
  <c r="M13" i="4"/>
  <c r="M14" i="4" a="1"/>
  <c r="M14" i="4"/>
  <c r="M15" i="4" a="1"/>
  <c r="M15" i="4"/>
  <c r="M16" i="4" a="1"/>
  <c r="M16" i="4"/>
  <c r="M2" i="4" a="1"/>
  <c r="M2" i="4"/>
  <c r="L3" i="4" a="1"/>
  <c r="L3" i="4" s="1"/>
  <c r="L4" i="4" a="1"/>
  <c r="L4" i="4"/>
  <c r="L5" i="4" a="1"/>
  <c r="L5" i="4" s="1"/>
  <c r="L6" i="4" a="1"/>
  <c r="L6" i="4"/>
  <c r="L7" i="4" a="1"/>
  <c r="L7" i="4" s="1"/>
  <c r="L8" i="4" a="1"/>
  <c r="L8" i="4"/>
  <c r="L9" i="4" a="1"/>
  <c r="L9" i="4" s="1"/>
  <c r="L10" i="4" a="1"/>
  <c r="L10" i="4"/>
  <c r="L11" i="4" a="1"/>
  <c r="L11" i="4" s="1"/>
  <c r="L12" i="4" a="1"/>
  <c r="L12" i="4"/>
  <c r="L13" i="4" a="1"/>
  <c r="L13" i="4" s="1"/>
  <c r="L14" i="4" a="1"/>
  <c r="L14" i="4"/>
  <c r="L15" i="4" a="1"/>
  <c r="L15" i="4" s="1"/>
  <c r="L16" i="4" a="1"/>
  <c r="L16" i="4"/>
  <c r="L2" i="4" a="1"/>
  <c r="L2" i="4" s="1"/>
  <c r="K3" i="4" a="1"/>
  <c r="K3" i="4" s="1"/>
  <c r="K4" i="4" a="1"/>
  <c r="K4" i="4"/>
  <c r="K5" i="4" a="1"/>
  <c r="K5" i="4" s="1"/>
  <c r="K6" i="4" a="1"/>
  <c r="K6" i="4"/>
  <c r="K7" i="4" a="1"/>
  <c r="K7" i="4" s="1"/>
  <c r="K8" i="4" a="1"/>
  <c r="K8" i="4"/>
  <c r="K9" i="4" a="1"/>
  <c r="K9" i="4" s="1"/>
  <c r="K10" i="4" a="1"/>
  <c r="K10" i="4"/>
  <c r="K11" i="4" a="1"/>
  <c r="K11" i="4" s="1"/>
  <c r="K12" i="4" a="1"/>
  <c r="K12" i="4"/>
  <c r="K13" i="4" a="1"/>
  <c r="K13" i="4" s="1"/>
  <c r="K14" i="4" a="1"/>
  <c r="K14" i="4"/>
  <c r="K15" i="4" a="1"/>
  <c r="K15" i="4" s="1"/>
  <c r="K16" i="4" a="1"/>
  <c r="K16" i="4"/>
  <c r="K2" i="4" a="1"/>
  <c r="K2" i="4" s="1"/>
  <c r="L2" i="2"/>
  <c r="L4" i="2"/>
  <c r="L13" i="2"/>
  <c r="L3" i="2"/>
  <c r="L5" i="2"/>
  <c r="L6" i="2"/>
  <c r="L7" i="2"/>
  <c r="L8" i="2"/>
  <c r="L9" i="2"/>
  <c r="L10" i="2"/>
  <c r="L11" i="2"/>
  <c r="L12" i="2"/>
  <c r="L14" i="2"/>
  <c r="L15" i="2"/>
  <c r="L16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2" i="2"/>
  <c r="J16" i="2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2" i="3"/>
  <c r="J2" i="3"/>
  <c r="M15" i="6"/>
  <c r="M16" i="6"/>
  <c r="M17" i="6"/>
  <c r="M14" i="6"/>
  <c r="L15" i="6"/>
  <c r="L16" i="6"/>
  <c r="L17" i="6"/>
  <c r="L14" i="6"/>
  <c r="O7" i="6"/>
  <c r="O8" i="6"/>
  <c r="O9" i="6"/>
  <c r="O6" i="6"/>
  <c r="N7" i="6"/>
  <c r="N8" i="6"/>
  <c r="N9" i="6"/>
  <c r="N6" i="6"/>
  <c r="M7" i="6"/>
  <c r="M8" i="6"/>
  <c r="M9" i="6"/>
  <c r="M6" i="6"/>
  <c r="L9" i="6"/>
  <c r="L8" i="6"/>
  <c r="L7" i="6"/>
  <c r="L6" i="6"/>
  <c r="K13" i="5"/>
  <c r="K14" i="5"/>
  <c r="K15" i="5"/>
  <c r="K12" i="5"/>
  <c r="K7" i="9"/>
  <c r="K8" i="9"/>
  <c r="K9" i="9"/>
  <c r="P4" i="9"/>
  <c r="N4" i="9"/>
  <c r="O4" i="9"/>
  <c r="M4" i="9"/>
  <c r="K6" i="5"/>
  <c r="K7" i="5"/>
  <c r="K8" i="5"/>
  <c r="K5" i="5"/>
  <c r="L2" i="5"/>
  <c r="K2" i="5"/>
  <c r="J2" i="5"/>
  <c r="J3" i="4" a="1"/>
  <c r="J3" i="4" s="1"/>
  <c r="J4" i="4" a="1"/>
  <c r="J4" i="4"/>
  <c r="J5" i="4" a="1"/>
  <c r="J5" i="4" s="1"/>
  <c r="J6" i="4" a="1"/>
  <c r="J6" i="4"/>
  <c r="J7" i="4" a="1"/>
  <c r="J7" i="4" s="1"/>
  <c r="J8" i="4" a="1"/>
  <c r="J8" i="4"/>
  <c r="J9" i="4" a="1"/>
  <c r="J9" i="4" s="1"/>
  <c r="J10" i="4" a="1"/>
  <c r="J10" i="4"/>
  <c r="J11" i="4" a="1"/>
  <c r="J11" i="4" s="1"/>
  <c r="J12" i="4" a="1"/>
  <c r="J12" i="4"/>
  <c r="J13" i="4" a="1"/>
  <c r="J13" i="4" s="1"/>
  <c r="J14" i="4" a="1"/>
  <c r="J14" i="4"/>
  <c r="J15" i="4" a="1"/>
  <c r="J15" i="4" s="1"/>
  <c r="J16" i="4" a="1"/>
  <c r="J16" i="4" s="1"/>
  <c r="J2" i="4" a="1"/>
  <c r="J2" i="4" s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2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<sst xmlns="http://schemas.openxmlformats.org/spreadsheetml/2006/main" count="774" uniqueCount="68">
  <si>
    <t>ID</t>
  </si>
  <si>
    <t>Customer Name</t>
  </si>
  <si>
    <t>Region</t>
  </si>
  <si>
    <t>Product</t>
  </si>
  <si>
    <t>Sales</t>
  </si>
  <si>
    <t>Profit</t>
  </si>
  <si>
    <t>Target Met</t>
  </si>
  <si>
    <t>Marks</t>
  </si>
  <si>
    <t>Alice Wahome</t>
  </si>
  <si>
    <t>East</t>
  </si>
  <si>
    <t>Laptop</t>
  </si>
  <si>
    <t>Yes</t>
  </si>
  <si>
    <t>Bob Otieno</t>
  </si>
  <si>
    <t>West</t>
  </si>
  <si>
    <t>Smartphone</t>
  </si>
  <si>
    <t>No</t>
  </si>
  <si>
    <t>Charlie Njoroge</t>
  </si>
  <si>
    <t>North</t>
  </si>
  <si>
    <t>Headphones</t>
  </si>
  <si>
    <t>Diana Wanjiru</t>
  </si>
  <si>
    <t>Edward Kamau</t>
  </si>
  <si>
    <t>South</t>
  </si>
  <si>
    <t>Books</t>
  </si>
  <si>
    <t>Fiona Chebet</t>
  </si>
  <si>
    <t>George Maina</t>
  </si>
  <si>
    <t>Hannah Achieng</t>
  </si>
  <si>
    <t>Ian Mwangi</t>
  </si>
  <si>
    <t>Jane Wairimu</t>
  </si>
  <si>
    <t>Kevin Mutua</t>
  </si>
  <si>
    <t>Laura Nyambura</t>
  </si>
  <si>
    <t>Mike Oduor</t>
  </si>
  <si>
    <t>Nina Karanja</t>
  </si>
  <si>
    <t>Oscar Mutiso</t>
  </si>
  <si>
    <t>comment</t>
  </si>
  <si>
    <t>terget</t>
  </si>
  <si>
    <t>GRADE</t>
  </si>
  <si>
    <t>LAPTOP SALE</t>
  </si>
  <si>
    <t>total sele book</t>
  </si>
  <si>
    <t>total salle for smartphone</t>
  </si>
  <si>
    <t>product</t>
  </si>
  <si>
    <t>sale</t>
  </si>
  <si>
    <t>AVERAGE FOR SALE</t>
  </si>
  <si>
    <t>Produck</t>
  </si>
  <si>
    <t>LAPTOP</t>
  </si>
  <si>
    <t>SMARTPHONE</t>
  </si>
  <si>
    <t>HEADPHONE</t>
  </si>
  <si>
    <t>BOOK</t>
  </si>
  <si>
    <t>SUM OF  TOTAL PROFIT</t>
  </si>
  <si>
    <t>SUNM OF TOTAL SALE</t>
  </si>
  <si>
    <t>SUM SALE WITH REGION</t>
  </si>
  <si>
    <t>total sale</t>
  </si>
  <si>
    <t xml:space="preserve">SUM SALE WERE TERGET MET </t>
  </si>
  <si>
    <t>CHECK</t>
  </si>
  <si>
    <t>DISCOUNT ELIGIBLE</t>
  </si>
  <si>
    <t>PERFUMER</t>
  </si>
  <si>
    <t>EXTRA REWARD</t>
  </si>
  <si>
    <t>PRIORITY</t>
  </si>
  <si>
    <t>CATGORIZE MARKS</t>
  </si>
  <si>
    <t>CATEGORIZE SALE</t>
  </si>
  <si>
    <t>CATEGORIZE PROFIT</t>
  </si>
  <si>
    <t>SALE GREATER THAN 1000</t>
  </si>
  <si>
    <t>STUDENT WITH 50 AND MORE</t>
  </si>
  <si>
    <t>NUMBER OF PRODCT</t>
  </si>
  <si>
    <t>NUMBER OF REGION</t>
  </si>
  <si>
    <t>COUNT OF SALE WITH REGIONS AND PRODUCT</t>
  </si>
  <si>
    <t>COUNT OF STUDENTS WITH MARKS AND TARGET MET</t>
  </si>
  <si>
    <t>GRATER THAN 70</t>
  </si>
  <si>
    <t>AVERGAGE PROFIT WHERE REGION  AND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</si>
</sst>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/>
    <xf numFmtId="0" fontId="1" fillId="0" borderId="0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52AA2-4A86-44EF-8C65-3235738D6704}">
  <dimension ref="A1:K16"/>
  <sheetViews>
    <sheetView workbookViewId="0">
      <selection activeCell="K2" sqref="K2"/>
    </sheetView>
  </sheetViews>
  <sheetFormatPr defaultRowHeight="15" x14ac:dyDescent="0.25"/>
  <cols>
    <col min="1" max="1" width="2.85546875" bestFit="1" customWidth="1"/>
    <col min="2" max="2" width="14.42578125" bestFit="1" customWidth="1"/>
    <col min="3" max="3" width="6.5703125" bestFit="1" customWidth="1"/>
    <col min="4" max="4" width="11" bestFit="1" customWidth="1"/>
    <col min="5" max="6" width="5.42578125" bestFit="1" customWidth="1"/>
    <col min="7" max="7" width="9.42578125" bestFit="1" customWidth="1"/>
    <col min="8" max="8" width="5.85546875" bestFit="1" customWidth="1"/>
    <col min="11" max="11" width="15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33</v>
      </c>
      <c r="K1" s="1" t="s">
        <v>34</v>
      </c>
    </row>
    <row r="2" spans="1:11" x14ac:dyDescent="0.25">
      <c r="A2" s="2">
        <v>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 t="s">
        <v>11</v>
      </c>
      <c r="H2" s="2">
        <v>85</v>
      </c>
      <c r="J2" t="str">
        <f>IF(H2&gt;=50,"pass","fail")</f>
        <v>pass</v>
      </c>
      <c r="K2" t="str">
        <f>IF(G2="YES","ACHIEVED","NOT ACHIEVED")</f>
        <v>ACHIEVED</v>
      </c>
    </row>
    <row r="3" spans="1:11" x14ac:dyDescent="0.25">
      <c r="A3" s="2">
        <v>2</v>
      </c>
      <c r="B3" s="2" t="s">
        <v>12</v>
      </c>
      <c r="C3" s="2" t="s">
        <v>13</v>
      </c>
      <c r="D3" s="2" t="s">
        <v>14</v>
      </c>
      <c r="E3" s="2">
        <v>800</v>
      </c>
      <c r="F3" s="2">
        <v>200</v>
      </c>
      <c r="G3" s="2" t="s">
        <v>15</v>
      </c>
      <c r="H3" s="2">
        <v>70</v>
      </c>
      <c r="J3" t="str">
        <f t="shared" ref="J3:J16" si="0">IF(H3&gt;=50,"pass","fail")</f>
        <v>pass</v>
      </c>
      <c r="K3" t="str">
        <f t="shared" ref="K3:K16" si="1">IF(G3="YES","ACHIEVED","NOT ACHIEVED")</f>
        <v>NOT ACHIEVED</v>
      </c>
    </row>
    <row r="4" spans="1:11" x14ac:dyDescent="0.25">
      <c r="A4" s="2">
        <v>3</v>
      </c>
      <c r="B4" s="2" t="s">
        <v>16</v>
      </c>
      <c r="C4" s="2" t="s">
        <v>17</v>
      </c>
      <c r="D4" s="2" t="s">
        <v>18</v>
      </c>
      <c r="E4" s="2">
        <v>500</v>
      </c>
      <c r="F4" s="2">
        <v>100</v>
      </c>
      <c r="G4" s="2" t="s">
        <v>15</v>
      </c>
      <c r="H4" s="2">
        <v>45</v>
      </c>
      <c r="J4" t="str">
        <f t="shared" si="0"/>
        <v>fail</v>
      </c>
      <c r="K4" t="str">
        <f t="shared" si="1"/>
        <v>NOT ACHIEVED</v>
      </c>
    </row>
    <row r="5" spans="1:11" x14ac:dyDescent="0.25">
      <c r="A5" s="2">
        <v>4</v>
      </c>
      <c r="B5" s="2" t="s">
        <v>19</v>
      </c>
      <c r="C5" s="2" t="s">
        <v>9</v>
      </c>
      <c r="D5" s="2" t="s">
        <v>10</v>
      </c>
      <c r="E5" s="2">
        <v>2200</v>
      </c>
      <c r="F5" s="2">
        <v>700</v>
      </c>
      <c r="G5" s="2" t="s">
        <v>11</v>
      </c>
      <c r="H5" s="2">
        <v>95</v>
      </c>
      <c r="J5" t="str">
        <f t="shared" si="0"/>
        <v>pass</v>
      </c>
      <c r="K5" t="str">
        <f t="shared" si="1"/>
        <v>ACHIEVED</v>
      </c>
    </row>
    <row r="6" spans="1:11" x14ac:dyDescent="0.25">
      <c r="A6" s="2">
        <v>5</v>
      </c>
      <c r="B6" s="2" t="s">
        <v>20</v>
      </c>
      <c r="C6" s="2" t="s">
        <v>21</v>
      </c>
      <c r="D6" s="2" t="s">
        <v>22</v>
      </c>
      <c r="E6" s="2">
        <v>300</v>
      </c>
      <c r="F6" s="2">
        <v>50</v>
      </c>
      <c r="G6" s="2" t="s">
        <v>15</v>
      </c>
      <c r="H6" s="2">
        <v>60</v>
      </c>
      <c r="J6" t="str">
        <f t="shared" si="0"/>
        <v>pass</v>
      </c>
      <c r="K6" t="str">
        <f t="shared" si="1"/>
        <v>NOT ACHIEVED</v>
      </c>
    </row>
    <row r="7" spans="1:11" x14ac:dyDescent="0.25">
      <c r="A7" s="2">
        <v>6</v>
      </c>
      <c r="B7" s="2" t="s">
        <v>23</v>
      </c>
      <c r="C7" s="2" t="s">
        <v>13</v>
      </c>
      <c r="D7" s="2" t="s">
        <v>18</v>
      </c>
      <c r="E7" s="2">
        <v>1500</v>
      </c>
      <c r="F7" s="2">
        <v>450</v>
      </c>
      <c r="G7" s="2" t="s">
        <v>11</v>
      </c>
      <c r="H7" s="2">
        <v>78</v>
      </c>
      <c r="J7" t="str">
        <f t="shared" si="0"/>
        <v>pass</v>
      </c>
      <c r="K7" t="str">
        <f t="shared" si="1"/>
        <v>ACHIEVED</v>
      </c>
    </row>
    <row r="8" spans="1:11" x14ac:dyDescent="0.25">
      <c r="A8" s="2">
        <v>7</v>
      </c>
      <c r="B8" s="2" t="s">
        <v>24</v>
      </c>
      <c r="C8" s="2" t="s">
        <v>17</v>
      </c>
      <c r="D8" s="2" t="s">
        <v>10</v>
      </c>
      <c r="E8" s="2">
        <v>900</v>
      </c>
      <c r="F8" s="2">
        <v>250</v>
      </c>
      <c r="G8" s="2" t="s">
        <v>15</v>
      </c>
      <c r="H8" s="2">
        <v>55</v>
      </c>
      <c r="J8" t="str">
        <f t="shared" si="0"/>
        <v>pass</v>
      </c>
      <c r="K8" t="str">
        <f t="shared" si="1"/>
        <v>NOT ACHIEVED</v>
      </c>
    </row>
    <row r="9" spans="1:11" x14ac:dyDescent="0.25">
      <c r="A9" s="2">
        <v>8</v>
      </c>
      <c r="B9" s="2" t="s">
        <v>25</v>
      </c>
      <c r="C9" s="2" t="s">
        <v>21</v>
      </c>
      <c r="D9" s="2" t="s">
        <v>22</v>
      </c>
      <c r="E9" s="2">
        <v>2000</v>
      </c>
      <c r="F9" s="2">
        <v>600</v>
      </c>
      <c r="G9" s="2" t="s">
        <v>11</v>
      </c>
      <c r="H9" s="2">
        <v>88</v>
      </c>
      <c r="J9" t="str">
        <f t="shared" si="0"/>
        <v>pass</v>
      </c>
      <c r="K9" t="str">
        <f t="shared" si="1"/>
        <v>ACHIEVED</v>
      </c>
    </row>
    <row r="10" spans="1:11" x14ac:dyDescent="0.25">
      <c r="A10" s="2">
        <v>9</v>
      </c>
      <c r="B10" s="2" t="s">
        <v>26</v>
      </c>
      <c r="C10" s="2" t="s">
        <v>9</v>
      </c>
      <c r="D10" s="2" t="s">
        <v>14</v>
      </c>
      <c r="E10" s="2">
        <v>750</v>
      </c>
      <c r="F10" s="2">
        <v>150</v>
      </c>
      <c r="G10" s="2" t="s">
        <v>15</v>
      </c>
      <c r="H10" s="2">
        <v>40</v>
      </c>
      <c r="J10" t="str">
        <f t="shared" si="0"/>
        <v>fail</v>
      </c>
      <c r="K10" t="str">
        <f t="shared" si="1"/>
        <v>NOT ACHIEVED</v>
      </c>
    </row>
    <row r="11" spans="1:11" x14ac:dyDescent="0.25">
      <c r="A11" s="2">
        <v>10</v>
      </c>
      <c r="B11" s="2" t="s">
        <v>27</v>
      </c>
      <c r="C11" s="2" t="s">
        <v>13</v>
      </c>
      <c r="D11" s="2" t="s">
        <v>22</v>
      </c>
      <c r="E11" s="2">
        <v>1300</v>
      </c>
      <c r="F11" s="2">
        <v>500</v>
      </c>
      <c r="G11" s="2" t="s">
        <v>11</v>
      </c>
      <c r="H11" s="2">
        <v>92</v>
      </c>
      <c r="J11" t="str">
        <f t="shared" si="0"/>
        <v>pass</v>
      </c>
      <c r="K11" t="str">
        <f t="shared" si="1"/>
        <v>ACHIEVED</v>
      </c>
    </row>
    <row r="12" spans="1:11" x14ac:dyDescent="0.25">
      <c r="A12" s="2">
        <v>11</v>
      </c>
      <c r="B12" s="2" t="s">
        <v>28</v>
      </c>
      <c r="C12" s="2" t="s">
        <v>17</v>
      </c>
      <c r="D12" s="2" t="s">
        <v>18</v>
      </c>
      <c r="E12" s="2">
        <v>600</v>
      </c>
      <c r="F12" s="2">
        <v>120</v>
      </c>
      <c r="G12" s="2" t="s">
        <v>15</v>
      </c>
      <c r="H12" s="2">
        <v>67</v>
      </c>
      <c r="J12" t="str">
        <f t="shared" si="0"/>
        <v>pass</v>
      </c>
      <c r="K12" t="str">
        <f t="shared" si="1"/>
        <v>NOT ACHIEVED</v>
      </c>
    </row>
    <row r="13" spans="1:11" x14ac:dyDescent="0.25">
      <c r="A13" s="2">
        <v>12</v>
      </c>
      <c r="B13" s="2" t="s">
        <v>29</v>
      </c>
      <c r="C13" s="2" t="s">
        <v>9</v>
      </c>
      <c r="D13" s="2" t="s">
        <v>14</v>
      </c>
      <c r="E13" s="2">
        <v>1800</v>
      </c>
      <c r="F13" s="2">
        <v>550</v>
      </c>
      <c r="G13" s="2" t="s">
        <v>11</v>
      </c>
      <c r="H13" s="2">
        <v>80</v>
      </c>
      <c r="J13" t="str">
        <f t="shared" si="0"/>
        <v>pass</v>
      </c>
      <c r="K13" t="str">
        <f t="shared" si="1"/>
        <v>ACHIEVED</v>
      </c>
    </row>
    <row r="14" spans="1:11" x14ac:dyDescent="0.25">
      <c r="A14" s="2">
        <v>13</v>
      </c>
      <c r="B14" s="2" t="s">
        <v>30</v>
      </c>
      <c r="C14" s="2" t="s">
        <v>21</v>
      </c>
      <c r="D14" s="2" t="s">
        <v>10</v>
      </c>
      <c r="E14" s="2">
        <v>400</v>
      </c>
      <c r="F14" s="2">
        <v>90</v>
      </c>
      <c r="G14" s="2" t="s">
        <v>15</v>
      </c>
      <c r="H14" s="2">
        <v>50</v>
      </c>
      <c r="J14" t="str">
        <f t="shared" si="0"/>
        <v>pass</v>
      </c>
      <c r="K14" t="str">
        <f t="shared" si="1"/>
        <v>NOT ACHIEVED</v>
      </c>
    </row>
    <row r="15" spans="1:11" x14ac:dyDescent="0.25">
      <c r="A15" s="2">
        <v>14</v>
      </c>
      <c r="B15" s="2" t="s">
        <v>31</v>
      </c>
      <c r="C15" s="2" t="s">
        <v>13</v>
      </c>
      <c r="D15" s="2" t="s">
        <v>18</v>
      </c>
      <c r="E15" s="2">
        <v>1100</v>
      </c>
      <c r="F15" s="2">
        <v>330</v>
      </c>
      <c r="G15" s="2" t="s">
        <v>11</v>
      </c>
      <c r="H15" s="2">
        <v>72</v>
      </c>
      <c r="J15" t="str">
        <f t="shared" si="0"/>
        <v>pass</v>
      </c>
      <c r="K15" t="str">
        <f t="shared" si="1"/>
        <v>ACHIEVED</v>
      </c>
    </row>
    <row r="16" spans="1:11" x14ac:dyDescent="0.25">
      <c r="A16" s="2">
        <v>15</v>
      </c>
      <c r="B16" s="2" t="s">
        <v>32</v>
      </c>
      <c r="C16" s="2" t="s">
        <v>9</v>
      </c>
      <c r="D16" s="2" t="s">
        <v>22</v>
      </c>
      <c r="E16" s="2">
        <v>950</v>
      </c>
      <c r="F16" s="2">
        <v>180</v>
      </c>
      <c r="G16" s="2" t="s">
        <v>15</v>
      </c>
      <c r="H16" s="2">
        <v>40</v>
      </c>
      <c r="J16" t="str">
        <f t="shared" si="0"/>
        <v>fail</v>
      </c>
      <c r="K16" t="str">
        <f t="shared" si="1"/>
        <v>NOT ACHIEVED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481C9-1969-4F7B-BAF5-C2EBBA576E07}">
  <dimension ref="A1:M16"/>
  <sheetViews>
    <sheetView topLeftCell="K1" workbookViewId="0">
      <selection activeCell="M2" sqref="M2"/>
    </sheetView>
  </sheetViews>
  <sheetFormatPr defaultRowHeight="15" x14ac:dyDescent="0.25"/>
  <cols>
    <col min="1" max="1" width="2.85546875" bestFit="1" customWidth="1"/>
    <col min="2" max="2" width="14.42578125" bestFit="1" customWidth="1"/>
    <col min="3" max="3" width="6.5703125" bestFit="1" customWidth="1"/>
    <col min="4" max="4" width="11" bestFit="1" customWidth="1"/>
    <col min="5" max="6" width="5.42578125" bestFit="1" customWidth="1"/>
    <col min="7" max="7" width="9.42578125" bestFit="1" customWidth="1"/>
    <col min="8" max="8" width="5.85546875" bestFit="1" customWidth="1"/>
    <col min="11" max="11" width="15.85546875" customWidth="1"/>
    <col min="12" max="12" width="10.85546875" customWidth="1"/>
    <col min="13" max="13" width="15.1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1" t="s">
        <v>54</v>
      </c>
      <c r="L1" s="1" t="s">
        <v>56</v>
      </c>
      <c r="M1" s="1" t="s">
        <v>55</v>
      </c>
    </row>
    <row r="2" spans="1:13" x14ac:dyDescent="0.25">
      <c r="A2" s="2">
        <v>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 t="s">
        <v>11</v>
      </c>
      <c r="H2" s="2">
        <v>85</v>
      </c>
      <c r="J2" t="b">
        <f>AND(H2&gt;=80,G2,"Yes")</f>
        <v>1</v>
      </c>
      <c r="K2" t="str">
        <f>IF(AND(H2&gt;=80,G2,"YES"),"TOP PERFUMER","AVERAGE")</f>
        <v>TOP PERFUMER</v>
      </c>
      <c r="L2" t="str">
        <f>IF(AND(E2&gt;=1500,F2&lt;=400),"High","Low")</f>
        <v>Low</v>
      </c>
      <c r="M2" t="str">
        <f t="shared" ref="M2:M16" si="0">IF(AND(E2&gt;=2000,G2="Yes"),"Reward","No reward")</f>
        <v>No reward</v>
      </c>
    </row>
    <row r="3" spans="1:13" x14ac:dyDescent="0.25">
      <c r="A3" s="2">
        <v>2</v>
      </c>
      <c r="B3" s="2" t="s">
        <v>12</v>
      </c>
      <c r="C3" s="2" t="s">
        <v>13</v>
      </c>
      <c r="D3" s="2" t="s">
        <v>14</v>
      </c>
      <c r="E3" s="2">
        <v>800</v>
      </c>
      <c r="F3" s="2">
        <v>200</v>
      </c>
      <c r="G3" s="2" t="s">
        <v>15</v>
      </c>
      <c r="H3" s="2">
        <v>70</v>
      </c>
      <c r="J3" t="b">
        <f t="shared" ref="J3:J15" si="1">AND(H3&gt;=80,G3,"Yes")</f>
        <v>0</v>
      </c>
      <c r="K3" t="str">
        <f t="shared" ref="K3:K16" si="2">IF(AND(H3&gt;=80,G3,"YES"),"TOP PERFUMER","AVERAGE")</f>
        <v>AVERAGE</v>
      </c>
      <c r="L3" t="str">
        <f t="shared" ref="L3:L16" si="3">IF(AND(E3&gt;=1500,F3&lt;=400),"High","Low")</f>
        <v>Low</v>
      </c>
      <c r="M3" t="str">
        <f t="shared" si="0"/>
        <v>No reward</v>
      </c>
    </row>
    <row r="4" spans="1:13" x14ac:dyDescent="0.25">
      <c r="A4" s="2">
        <v>3</v>
      </c>
      <c r="B4" s="2" t="s">
        <v>16</v>
      </c>
      <c r="C4" s="2" t="s">
        <v>17</v>
      </c>
      <c r="D4" s="2" t="s">
        <v>18</v>
      </c>
      <c r="E4" s="2">
        <v>500</v>
      </c>
      <c r="F4" s="2">
        <v>100</v>
      </c>
      <c r="G4" s="2" t="s">
        <v>15</v>
      </c>
      <c r="H4" s="2">
        <v>45</v>
      </c>
      <c r="J4" t="b">
        <f t="shared" si="1"/>
        <v>0</v>
      </c>
      <c r="K4" t="str">
        <f t="shared" si="2"/>
        <v>AVERAGE</v>
      </c>
      <c r="L4" t="str">
        <f>IF(AND(E4&gt;=1500,F4&lt;=400),"High","Low")</f>
        <v>Low</v>
      </c>
      <c r="M4" t="str">
        <f t="shared" si="0"/>
        <v>No reward</v>
      </c>
    </row>
    <row r="5" spans="1:13" x14ac:dyDescent="0.25">
      <c r="A5" s="2">
        <v>4</v>
      </c>
      <c r="B5" s="2" t="s">
        <v>19</v>
      </c>
      <c r="C5" s="2" t="s">
        <v>9</v>
      </c>
      <c r="D5" s="2" t="s">
        <v>10</v>
      </c>
      <c r="E5" s="2">
        <v>2200</v>
      </c>
      <c r="F5" s="2">
        <v>700</v>
      </c>
      <c r="G5" s="2" t="s">
        <v>11</v>
      </c>
      <c r="H5" s="2">
        <v>95</v>
      </c>
      <c r="J5" t="b">
        <f t="shared" si="1"/>
        <v>1</v>
      </c>
      <c r="K5" t="str">
        <f t="shared" si="2"/>
        <v>TOP PERFUMER</v>
      </c>
      <c r="L5" t="str">
        <f t="shared" si="3"/>
        <v>Low</v>
      </c>
      <c r="M5" t="str">
        <f t="shared" si="0"/>
        <v>Reward</v>
      </c>
    </row>
    <row r="6" spans="1:13" x14ac:dyDescent="0.25">
      <c r="A6" s="2">
        <v>5</v>
      </c>
      <c r="B6" s="2" t="s">
        <v>20</v>
      </c>
      <c r="C6" s="2" t="s">
        <v>21</v>
      </c>
      <c r="D6" s="2" t="s">
        <v>22</v>
      </c>
      <c r="E6" s="2">
        <v>300</v>
      </c>
      <c r="F6" s="2">
        <v>50</v>
      </c>
      <c r="G6" s="2" t="s">
        <v>15</v>
      </c>
      <c r="H6" s="2">
        <v>60</v>
      </c>
      <c r="J6" t="b">
        <f t="shared" si="1"/>
        <v>0</v>
      </c>
      <c r="K6" t="str">
        <f t="shared" si="2"/>
        <v>AVERAGE</v>
      </c>
      <c r="L6" t="str">
        <f t="shared" si="3"/>
        <v>Low</v>
      </c>
      <c r="M6" t="str">
        <f t="shared" si="0"/>
        <v>No reward</v>
      </c>
    </row>
    <row r="7" spans="1:13" x14ac:dyDescent="0.25">
      <c r="A7" s="2">
        <v>6</v>
      </c>
      <c r="B7" s="2" t="s">
        <v>23</v>
      </c>
      <c r="C7" s="2" t="s">
        <v>13</v>
      </c>
      <c r="D7" s="2" t="s">
        <v>18</v>
      </c>
      <c r="E7" s="2">
        <v>1500</v>
      </c>
      <c r="F7" s="2">
        <v>450</v>
      </c>
      <c r="G7" s="2" t="s">
        <v>11</v>
      </c>
      <c r="H7" s="2">
        <v>78</v>
      </c>
      <c r="J7" t="b">
        <f t="shared" si="1"/>
        <v>0</v>
      </c>
      <c r="K7" t="str">
        <f t="shared" si="2"/>
        <v>AVERAGE</v>
      </c>
      <c r="L7" t="str">
        <f t="shared" si="3"/>
        <v>Low</v>
      </c>
      <c r="M7" t="str">
        <f t="shared" si="0"/>
        <v>No reward</v>
      </c>
    </row>
    <row r="8" spans="1:13" x14ac:dyDescent="0.25">
      <c r="A8" s="2">
        <v>7</v>
      </c>
      <c r="B8" s="2" t="s">
        <v>24</v>
      </c>
      <c r="C8" s="2" t="s">
        <v>17</v>
      </c>
      <c r="D8" s="2" t="s">
        <v>10</v>
      </c>
      <c r="E8" s="2">
        <v>900</v>
      </c>
      <c r="F8" s="2">
        <v>250</v>
      </c>
      <c r="G8" s="2" t="s">
        <v>15</v>
      </c>
      <c r="H8" s="2">
        <v>55</v>
      </c>
      <c r="J8" t="b">
        <f t="shared" si="1"/>
        <v>0</v>
      </c>
      <c r="K8" t="str">
        <f t="shared" si="2"/>
        <v>AVERAGE</v>
      </c>
      <c r="L8" t="str">
        <f t="shared" si="3"/>
        <v>Low</v>
      </c>
      <c r="M8" t="str">
        <f t="shared" si="0"/>
        <v>No reward</v>
      </c>
    </row>
    <row r="9" spans="1:13" x14ac:dyDescent="0.25">
      <c r="A9" s="2">
        <v>8</v>
      </c>
      <c r="B9" s="2" t="s">
        <v>25</v>
      </c>
      <c r="C9" s="2" t="s">
        <v>21</v>
      </c>
      <c r="D9" s="2" t="s">
        <v>22</v>
      </c>
      <c r="E9" s="2">
        <v>2000</v>
      </c>
      <c r="F9" s="2">
        <v>600</v>
      </c>
      <c r="G9" s="2" t="s">
        <v>11</v>
      </c>
      <c r="H9" s="2">
        <v>88</v>
      </c>
      <c r="J9" t="b">
        <f t="shared" si="1"/>
        <v>1</v>
      </c>
      <c r="K9" t="str">
        <f t="shared" si="2"/>
        <v>TOP PERFUMER</v>
      </c>
      <c r="L9" t="str">
        <f t="shared" si="3"/>
        <v>Low</v>
      </c>
      <c r="M9" t="str">
        <f t="shared" si="0"/>
        <v>Reward</v>
      </c>
    </row>
    <row r="10" spans="1:13" x14ac:dyDescent="0.25">
      <c r="A10" s="2">
        <v>9</v>
      </c>
      <c r="B10" s="2" t="s">
        <v>26</v>
      </c>
      <c r="C10" s="2" t="s">
        <v>9</v>
      </c>
      <c r="D10" s="2" t="s">
        <v>14</v>
      </c>
      <c r="E10" s="2">
        <v>750</v>
      </c>
      <c r="F10" s="2">
        <v>150</v>
      </c>
      <c r="G10" s="2" t="s">
        <v>15</v>
      </c>
      <c r="H10" s="2">
        <v>40</v>
      </c>
      <c r="J10" t="b">
        <f t="shared" si="1"/>
        <v>0</v>
      </c>
      <c r="K10" t="str">
        <f t="shared" si="2"/>
        <v>AVERAGE</v>
      </c>
      <c r="L10" t="str">
        <f t="shared" si="3"/>
        <v>Low</v>
      </c>
      <c r="M10" t="str">
        <f t="shared" si="0"/>
        <v>No reward</v>
      </c>
    </row>
    <row r="11" spans="1:13" x14ac:dyDescent="0.25">
      <c r="A11" s="2">
        <v>10</v>
      </c>
      <c r="B11" s="2" t="s">
        <v>27</v>
      </c>
      <c r="C11" s="2" t="s">
        <v>13</v>
      </c>
      <c r="D11" s="2" t="s">
        <v>22</v>
      </c>
      <c r="E11" s="2">
        <v>1300</v>
      </c>
      <c r="F11" s="2">
        <v>500</v>
      </c>
      <c r="G11" s="2" t="s">
        <v>11</v>
      </c>
      <c r="H11" s="2">
        <v>92</v>
      </c>
      <c r="J11" t="b">
        <f t="shared" si="1"/>
        <v>1</v>
      </c>
      <c r="K11" t="str">
        <f t="shared" si="2"/>
        <v>TOP PERFUMER</v>
      </c>
      <c r="L11" t="str">
        <f t="shared" si="3"/>
        <v>Low</v>
      </c>
      <c r="M11" t="str">
        <f t="shared" si="0"/>
        <v>No reward</v>
      </c>
    </row>
    <row r="12" spans="1:13" x14ac:dyDescent="0.25">
      <c r="A12" s="2">
        <v>11</v>
      </c>
      <c r="B12" s="2" t="s">
        <v>28</v>
      </c>
      <c r="C12" s="2" t="s">
        <v>17</v>
      </c>
      <c r="D12" s="2" t="s">
        <v>18</v>
      </c>
      <c r="E12" s="2">
        <v>600</v>
      </c>
      <c r="F12" s="2">
        <v>120</v>
      </c>
      <c r="G12" s="2" t="s">
        <v>15</v>
      </c>
      <c r="H12" s="2">
        <v>67</v>
      </c>
      <c r="J12" t="b">
        <f t="shared" si="1"/>
        <v>0</v>
      </c>
      <c r="K12" t="str">
        <f t="shared" si="2"/>
        <v>AVERAGE</v>
      </c>
      <c r="L12" t="str">
        <f t="shared" si="3"/>
        <v>Low</v>
      </c>
      <c r="M12" t="str">
        <f t="shared" si="0"/>
        <v>No reward</v>
      </c>
    </row>
    <row r="13" spans="1:13" x14ac:dyDescent="0.25">
      <c r="A13" s="2">
        <v>12</v>
      </c>
      <c r="B13" s="2" t="s">
        <v>29</v>
      </c>
      <c r="C13" s="2" t="s">
        <v>9</v>
      </c>
      <c r="D13" s="2" t="s">
        <v>14</v>
      </c>
      <c r="E13" s="2">
        <v>1800</v>
      </c>
      <c r="F13" s="2">
        <v>550</v>
      </c>
      <c r="G13" s="2" t="s">
        <v>11</v>
      </c>
      <c r="H13" s="2">
        <v>80</v>
      </c>
      <c r="J13" t="b">
        <f t="shared" si="1"/>
        <v>1</v>
      </c>
      <c r="K13" t="str">
        <f t="shared" si="2"/>
        <v>TOP PERFUMER</v>
      </c>
      <c r="L13" t="str">
        <f>IF(AND(E13&gt;=1500,F13&lt;=400),"High","Low")</f>
        <v>Low</v>
      </c>
      <c r="M13" t="str">
        <f t="shared" si="0"/>
        <v>No reward</v>
      </c>
    </row>
    <row r="14" spans="1:13" x14ac:dyDescent="0.25">
      <c r="A14" s="2">
        <v>13</v>
      </c>
      <c r="B14" s="2" t="s">
        <v>30</v>
      </c>
      <c r="C14" s="2" t="s">
        <v>21</v>
      </c>
      <c r="D14" s="2" t="s">
        <v>10</v>
      </c>
      <c r="E14" s="2">
        <v>400</v>
      </c>
      <c r="F14" s="2">
        <v>90</v>
      </c>
      <c r="G14" s="2" t="s">
        <v>15</v>
      </c>
      <c r="H14" s="2">
        <v>50</v>
      </c>
      <c r="J14" t="b">
        <f t="shared" si="1"/>
        <v>0</v>
      </c>
      <c r="K14" t="str">
        <f t="shared" si="2"/>
        <v>AVERAGE</v>
      </c>
      <c r="L14" t="str">
        <f t="shared" si="3"/>
        <v>Low</v>
      </c>
      <c r="M14" t="str">
        <f t="shared" si="0"/>
        <v>No reward</v>
      </c>
    </row>
    <row r="15" spans="1:13" x14ac:dyDescent="0.25">
      <c r="A15" s="2">
        <v>14</v>
      </c>
      <c r="B15" s="2" t="s">
        <v>31</v>
      </c>
      <c r="C15" s="2" t="s">
        <v>13</v>
      </c>
      <c r="D15" s="2" t="s">
        <v>18</v>
      </c>
      <c r="E15" s="2">
        <v>1100</v>
      </c>
      <c r="F15" s="2">
        <v>330</v>
      </c>
      <c r="G15" s="2" t="s">
        <v>11</v>
      </c>
      <c r="H15" s="2">
        <v>72</v>
      </c>
      <c r="J15" t="b">
        <f t="shared" si="1"/>
        <v>0</v>
      </c>
      <c r="K15" t="str">
        <f t="shared" si="2"/>
        <v>AVERAGE</v>
      </c>
      <c r="L15" t="str">
        <f t="shared" si="3"/>
        <v>Low</v>
      </c>
      <c r="M15" t="str">
        <f t="shared" si="0"/>
        <v>No reward</v>
      </c>
    </row>
    <row r="16" spans="1:13" x14ac:dyDescent="0.25">
      <c r="A16" s="2">
        <v>15</v>
      </c>
      <c r="B16" s="2" t="s">
        <v>32</v>
      </c>
      <c r="C16" s="2" t="s">
        <v>9</v>
      </c>
      <c r="D16" s="2" t="s">
        <v>22</v>
      </c>
      <c r="E16" s="2">
        <v>950</v>
      </c>
      <c r="F16" s="2">
        <v>180</v>
      </c>
      <c r="G16" s="2" t="s">
        <v>15</v>
      </c>
      <c r="H16" s="2">
        <v>68</v>
      </c>
      <c r="J16" t="b">
        <f>AND(H16&gt;=80,G16,"Yes")</f>
        <v>0</v>
      </c>
      <c r="K16" t="str">
        <f t="shared" si="2"/>
        <v>AVERAGE</v>
      </c>
      <c r="L16" t="str">
        <f t="shared" si="3"/>
        <v>Low</v>
      </c>
      <c r="M16" t="str">
        <f t="shared" si="0"/>
        <v>No reward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D9D47-FD5B-48A4-8E06-FF908C4303F6}">
  <dimension ref="A1:L16"/>
  <sheetViews>
    <sheetView topLeftCell="H1" workbookViewId="0">
      <selection activeCell="L10" sqref="L10"/>
    </sheetView>
  </sheetViews>
  <sheetFormatPr defaultRowHeight="15" x14ac:dyDescent="0.25"/>
  <cols>
    <col min="1" max="1" width="2.85546875" bestFit="1" customWidth="1"/>
    <col min="2" max="2" width="14.42578125" bestFit="1" customWidth="1"/>
    <col min="3" max="3" width="6.5703125" bestFit="1" customWidth="1"/>
    <col min="4" max="4" width="11" bestFit="1" customWidth="1"/>
    <col min="5" max="6" width="5.42578125" bestFit="1" customWidth="1"/>
    <col min="7" max="7" width="9.42578125" bestFit="1" customWidth="1"/>
    <col min="8" max="8" width="5.85546875" bestFit="1" customWidth="1"/>
    <col min="10" max="10" width="14.5703125" customWidth="1"/>
    <col min="11" max="11" width="12.5703125" customWidth="1"/>
    <col min="12" max="12" width="19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33</v>
      </c>
      <c r="K1" s="1" t="s">
        <v>52</v>
      </c>
      <c r="L1" s="1" t="s">
        <v>53</v>
      </c>
    </row>
    <row r="2" spans="1:12" x14ac:dyDescent="0.25">
      <c r="A2" s="2">
        <v>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 t="s">
        <v>11</v>
      </c>
      <c r="H2" s="2">
        <v>85</v>
      </c>
      <c r="J2" t="str">
        <f>IF(OR(H2&lt;50,G2="NO"),"ATTANTION","OKEY")</f>
        <v>OKEY</v>
      </c>
      <c r="K2" t="str">
        <f>IF(OR(C2="South",D2="Smartphones"),"Chech","Not chech")</f>
        <v>Not chech</v>
      </c>
      <c r="L2" t="str">
        <f>IF(OR(D2="Laptop",D2="Headphones"),"discount 10%","No discount")</f>
        <v>discount 10%</v>
      </c>
    </row>
    <row r="3" spans="1:12" x14ac:dyDescent="0.25">
      <c r="A3" s="2">
        <v>2</v>
      </c>
      <c r="B3" s="2" t="s">
        <v>12</v>
      </c>
      <c r="C3" s="2" t="s">
        <v>13</v>
      </c>
      <c r="D3" s="2" t="s">
        <v>14</v>
      </c>
      <c r="E3" s="2">
        <v>800</v>
      </c>
      <c r="F3" s="2">
        <v>200</v>
      </c>
      <c r="G3" s="2" t="s">
        <v>15</v>
      </c>
      <c r="H3" s="2">
        <v>70</v>
      </c>
      <c r="J3" t="str">
        <f t="shared" ref="J3:J16" si="0">IF(OR(H3&lt;50,G3="NO"),"ATTANTION","OKEY")</f>
        <v>ATTANTION</v>
      </c>
      <c r="K3" t="str">
        <f t="shared" ref="K3:K16" si="1">IF(OR(C3="South",D3="Smartphones"),"Chech","Not chech")</f>
        <v>Not chech</v>
      </c>
      <c r="L3" t="str">
        <f t="shared" ref="L3:L16" si="2">IF(OR(D3="Laptop",D3="Headphones"),"discount 10%","No discount")</f>
        <v>No discount</v>
      </c>
    </row>
    <row r="4" spans="1:12" x14ac:dyDescent="0.25">
      <c r="A4" s="2">
        <v>3</v>
      </c>
      <c r="B4" s="2" t="s">
        <v>16</v>
      </c>
      <c r="C4" s="2" t="s">
        <v>17</v>
      </c>
      <c r="D4" s="2" t="s">
        <v>18</v>
      </c>
      <c r="E4" s="2">
        <v>500</v>
      </c>
      <c r="F4" s="2">
        <v>100</v>
      </c>
      <c r="G4" s="2" t="s">
        <v>15</v>
      </c>
      <c r="H4" s="2">
        <v>45</v>
      </c>
      <c r="J4" t="str">
        <f t="shared" si="0"/>
        <v>ATTANTION</v>
      </c>
      <c r="K4" t="str">
        <f t="shared" si="1"/>
        <v>Not chech</v>
      </c>
      <c r="L4" t="str">
        <f t="shared" si="2"/>
        <v>discount 10%</v>
      </c>
    </row>
    <row r="5" spans="1:12" x14ac:dyDescent="0.25">
      <c r="A5" s="2">
        <v>4</v>
      </c>
      <c r="B5" s="2" t="s">
        <v>19</v>
      </c>
      <c r="C5" s="2" t="s">
        <v>9</v>
      </c>
      <c r="D5" s="2" t="s">
        <v>10</v>
      </c>
      <c r="E5" s="2">
        <v>2200</v>
      </c>
      <c r="F5" s="2">
        <v>700</v>
      </c>
      <c r="G5" s="2" t="s">
        <v>11</v>
      </c>
      <c r="H5" s="2">
        <v>95</v>
      </c>
      <c r="J5" t="str">
        <f t="shared" si="0"/>
        <v>OKEY</v>
      </c>
      <c r="K5" t="str">
        <f t="shared" si="1"/>
        <v>Not chech</v>
      </c>
      <c r="L5" t="str">
        <f t="shared" si="2"/>
        <v>discount 10%</v>
      </c>
    </row>
    <row r="6" spans="1:12" x14ac:dyDescent="0.25">
      <c r="A6" s="2">
        <v>5</v>
      </c>
      <c r="B6" s="2" t="s">
        <v>20</v>
      </c>
      <c r="C6" s="2" t="s">
        <v>21</v>
      </c>
      <c r="D6" s="2" t="s">
        <v>22</v>
      </c>
      <c r="E6" s="2">
        <v>300</v>
      </c>
      <c r="F6" s="2">
        <v>50</v>
      </c>
      <c r="G6" s="2" t="s">
        <v>15</v>
      </c>
      <c r="H6" s="2">
        <v>60</v>
      </c>
      <c r="J6" t="str">
        <f t="shared" si="0"/>
        <v>ATTANTION</v>
      </c>
      <c r="K6" t="str">
        <f t="shared" si="1"/>
        <v>Chech</v>
      </c>
      <c r="L6" t="str">
        <f t="shared" si="2"/>
        <v>No discount</v>
      </c>
    </row>
    <row r="7" spans="1:12" x14ac:dyDescent="0.25">
      <c r="A7" s="2">
        <v>6</v>
      </c>
      <c r="B7" s="2" t="s">
        <v>23</v>
      </c>
      <c r="C7" s="2" t="s">
        <v>13</v>
      </c>
      <c r="D7" s="2" t="s">
        <v>18</v>
      </c>
      <c r="E7" s="2">
        <v>1500</v>
      </c>
      <c r="F7" s="2">
        <v>450</v>
      </c>
      <c r="G7" s="2" t="s">
        <v>11</v>
      </c>
      <c r="H7" s="2">
        <v>78</v>
      </c>
      <c r="J7" t="str">
        <f t="shared" si="0"/>
        <v>OKEY</v>
      </c>
      <c r="K7" t="str">
        <f t="shared" si="1"/>
        <v>Not chech</v>
      </c>
      <c r="L7" t="str">
        <f t="shared" si="2"/>
        <v>discount 10%</v>
      </c>
    </row>
    <row r="8" spans="1:12" x14ac:dyDescent="0.25">
      <c r="A8" s="2">
        <v>7</v>
      </c>
      <c r="B8" s="2" t="s">
        <v>24</v>
      </c>
      <c r="C8" s="2" t="s">
        <v>17</v>
      </c>
      <c r="D8" s="2" t="s">
        <v>10</v>
      </c>
      <c r="E8" s="2">
        <v>900</v>
      </c>
      <c r="F8" s="2">
        <v>250</v>
      </c>
      <c r="G8" s="2" t="s">
        <v>15</v>
      </c>
      <c r="H8" s="2">
        <v>55</v>
      </c>
      <c r="J8" t="str">
        <f t="shared" si="0"/>
        <v>ATTANTION</v>
      </c>
      <c r="K8" t="str">
        <f t="shared" si="1"/>
        <v>Not chech</v>
      </c>
      <c r="L8" t="str">
        <f t="shared" si="2"/>
        <v>discount 10%</v>
      </c>
    </row>
    <row r="9" spans="1:12" x14ac:dyDescent="0.25">
      <c r="A9" s="2">
        <v>8</v>
      </c>
      <c r="B9" s="2" t="s">
        <v>25</v>
      </c>
      <c r="C9" s="2" t="s">
        <v>21</v>
      </c>
      <c r="D9" s="2" t="s">
        <v>22</v>
      </c>
      <c r="E9" s="2">
        <v>2000</v>
      </c>
      <c r="F9" s="2">
        <v>600</v>
      </c>
      <c r="G9" s="2" t="s">
        <v>11</v>
      </c>
      <c r="H9" s="2">
        <v>88</v>
      </c>
      <c r="J9" t="str">
        <f t="shared" si="0"/>
        <v>OKEY</v>
      </c>
      <c r="K9" t="str">
        <f t="shared" si="1"/>
        <v>Chech</v>
      </c>
      <c r="L9" t="str">
        <f t="shared" si="2"/>
        <v>No discount</v>
      </c>
    </row>
    <row r="10" spans="1:12" x14ac:dyDescent="0.25">
      <c r="A10" s="2">
        <v>9</v>
      </c>
      <c r="B10" s="2" t="s">
        <v>26</v>
      </c>
      <c r="C10" s="2" t="s">
        <v>9</v>
      </c>
      <c r="D10" s="2" t="s">
        <v>14</v>
      </c>
      <c r="E10" s="2">
        <v>750</v>
      </c>
      <c r="F10" s="2">
        <v>150</v>
      </c>
      <c r="G10" s="2" t="s">
        <v>15</v>
      </c>
      <c r="H10" s="2">
        <v>40</v>
      </c>
      <c r="J10" t="str">
        <f t="shared" si="0"/>
        <v>ATTANTION</v>
      </c>
      <c r="K10" t="str">
        <f t="shared" si="1"/>
        <v>Not chech</v>
      </c>
      <c r="L10" t="str">
        <f t="shared" si="2"/>
        <v>No discount</v>
      </c>
    </row>
    <row r="11" spans="1:12" x14ac:dyDescent="0.25">
      <c r="A11" s="2">
        <v>10</v>
      </c>
      <c r="B11" s="2" t="s">
        <v>27</v>
      </c>
      <c r="C11" s="2" t="s">
        <v>13</v>
      </c>
      <c r="D11" s="2" t="s">
        <v>22</v>
      </c>
      <c r="E11" s="2">
        <v>1300</v>
      </c>
      <c r="F11" s="2">
        <v>500</v>
      </c>
      <c r="G11" s="2" t="s">
        <v>11</v>
      </c>
      <c r="H11" s="2">
        <v>92</v>
      </c>
      <c r="J11" t="str">
        <f t="shared" si="0"/>
        <v>OKEY</v>
      </c>
      <c r="K11" t="str">
        <f t="shared" si="1"/>
        <v>Not chech</v>
      </c>
      <c r="L11" t="str">
        <f t="shared" si="2"/>
        <v>No discount</v>
      </c>
    </row>
    <row r="12" spans="1:12" x14ac:dyDescent="0.25">
      <c r="A12" s="2">
        <v>11</v>
      </c>
      <c r="B12" s="2" t="s">
        <v>28</v>
      </c>
      <c r="C12" s="2" t="s">
        <v>17</v>
      </c>
      <c r="D12" s="2" t="s">
        <v>18</v>
      </c>
      <c r="E12" s="2">
        <v>600</v>
      </c>
      <c r="F12" s="2">
        <v>120</v>
      </c>
      <c r="G12" s="2" t="s">
        <v>15</v>
      </c>
      <c r="H12" s="2">
        <v>67</v>
      </c>
      <c r="J12" t="str">
        <f t="shared" si="0"/>
        <v>ATTANTION</v>
      </c>
      <c r="K12" t="str">
        <f t="shared" si="1"/>
        <v>Not chech</v>
      </c>
      <c r="L12" t="str">
        <f t="shared" si="2"/>
        <v>discount 10%</v>
      </c>
    </row>
    <row r="13" spans="1:12" x14ac:dyDescent="0.25">
      <c r="A13" s="2">
        <v>12</v>
      </c>
      <c r="B13" s="2" t="s">
        <v>29</v>
      </c>
      <c r="C13" s="2" t="s">
        <v>9</v>
      </c>
      <c r="D13" s="2" t="s">
        <v>14</v>
      </c>
      <c r="E13" s="2">
        <v>1800</v>
      </c>
      <c r="F13" s="2">
        <v>550</v>
      </c>
      <c r="G13" s="2" t="s">
        <v>11</v>
      </c>
      <c r="H13" s="2">
        <v>80</v>
      </c>
      <c r="J13" t="str">
        <f t="shared" si="0"/>
        <v>OKEY</v>
      </c>
      <c r="K13" t="str">
        <f t="shared" si="1"/>
        <v>Not chech</v>
      </c>
      <c r="L13" t="str">
        <f t="shared" si="2"/>
        <v>No discount</v>
      </c>
    </row>
    <row r="14" spans="1:12" x14ac:dyDescent="0.25">
      <c r="A14" s="2">
        <v>13</v>
      </c>
      <c r="B14" s="2" t="s">
        <v>30</v>
      </c>
      <c r="C14" s="2" t="s">
        <v>21</v>
      </c>
      <c r="D14" s="2" t="s">
        <v>10</v>
      </c>
      <c r="E14" s="2">
        <v>400</v>
      </c>
      <c r="F14" s="2">
        <v>90</v>
      </c>
      <c r="G14" s="2" t="s">
        <v>15</v>
      </c>
      <c r="H14" s="2">
        <v>50</v>
      </c>
      <c r="J14" t="str">
        <f t="shared" si="0"/>
        <v>ATTANTION</v>
      </c>
      <c r="K14" t="str">
        <f t="shared" si="1"/>
        <v>Chech</v>
      </c>
      <c r="L14" t="str">
        <f t="shared" si="2"/>
        <v>discount 10%</v>
      </c>
    </row>
    <row r="15" spans="1:12" x14ac:dyDescent="0.25">
      <c r="A15" s="2">
        <v>14</v>
      </c>
      <c r="B15" s="2" t="s">
        <v>31</v>
      </c>
      <c r="C15" s="2" t="s">
        <v>13</v>
      </c>
      <c r="D15" s="2" t="s">
        <v>18</v>
      </c>
      <c r="E15" s="2">
        <v>1100</v>
      </c>
      <c r="F15" s="2">
        <v>330</v>
      </c>
      <c r="G15" s="2" t="s">
        <v>11</v>
      </c>
      <c r="H15" s="2">
        <v>72</v>
      </c>
      <c r="J15" t="str">
        <f t="shared" si="0"/>
        <v>OKEY</v>
      </c>
      <c r="K15" t="str">
        <f t="shared" si="1"/>
        <v>Not chech</v>
      </c>
      <c r="L15" t="str">
        <f t="shared" si="2"/>
        <v>discount 10%</v>
      </c>
    </row>
    <row r="16" spans="1:12" x14ac:dyDescent="0.25">
      <c r="A16" s="2">
        <v>15</v>
      </c>
      <c r="B16" s="2" t="s">
        <v>32</v>
      </c>
      <c r="C16" s="2" t="s">
        <v>9</v>
      </c>
      <c r="D16" s="2" t="s">
        <v>22</v>
      </c>
      <c r="E16" s="2">
        <v>950</v>
      </c>
      <c r="F16" s="2">
        <v>180</v>
      </c>
      <c r="G16" s="2" t="s">
        <v>15</v>
      </c>
      <c r="H16" s="2">
        <v>89</v>
      </c>
      <c r="J16" t="str">
        <f t="shared" si="0"/>
        <v>ATTANTION</v>
      </c>
      <c r="K16" t="str">
        <f t="shared" si="1"/>
        <v>Not chech</v>
      </c>
      <c r="L16" t="str">
        <f t="shared" si="2"/>
        <v>No discount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0A61-896A-4119-BF17-BFC2668573E8}">
  <dimension ref="A1:M16"/>
  <sheetViews>
    <sheetView topLeftCell="J1" workbookViewId="0">
      <selection activeCell="N1" sqref="N1"/>
    </sheetView>
  </sheetViews>
  <sheetFormatPr defaultRowHeight="15" x14ac:dyDescent="0.25"/>
  <cols>
    <col min="1" max="1" width="2.85546875" bestFit="1" customWidth="1"/>
    <col min="2" max="2" width="14.42578125" bestFit="1" customWidth="1"/>
    <col min="3" max="3" width="6.5703125" bestFit="1" customWidth="1"/>
    <col min="4" max="4" width="11" bestFit="1" customWidth="1"/>
    <col min="5" max="6" width="5.42578125" bestFit="1" customWidth="1"/>
    <col min="7" max="7" width="9.42578125" bestFit="1" customWidth="1"/>
    <col min="8" max="8" width="5.85546875" bestFit="1" customWidth="1"/>
    <col min="11" max="11" width="19.28515625" customWidth="1"/>
    <col min="12" max="12" width="17.42578125" customWidth="1"/>
    <col min="13" max="13" width="19.855468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35</v>
      </c>
      <c r="K1" s="1" t="s">
        <v>57</v>
      </c>
      <c r="L1" s="1" t="s">
        <v>58</v>
      </c>
      <c r="M1" s="1" t="s">
        <v>59</v>
      </c>
    </row>
    <row r="2" spans="1:13" x14ac:dyDescent="0.25">
      <c r="A2" s="2">
        <v>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 t="s">
        <v>11</v>
      </c>
      <c r="H2" s="2">
        <v>85</v>
      </c>
      <c r="J2" t="str" cm="1">
        <f t="array" ref="J2">_xlfn.IFS(H2&gt;80,"A",H2&gt;=70,"B",H2&gt;=50,"C",H2&lt;50,"E")</f>
        <v>A</v>
      </c>
      <c r="K2" t="str" cm="1">
        <f t="array" ref="K2">_xlfn.IFS(H2&gt;=80,"High",H2&gt;=50,"medium",H2&lt;50,"low")</f>
        <v>High</v>
      </c>
      <c r="L2" t="str" cm="1">
        <f t="array" ref="L2">_xlfn.IFS(E2&gt;=2000,"Tier 1",E2&gt;=1000,"Tier 2",E2&lt;1000,"Tier 3")</f>
        <v>Tier 2</v>
      </c>
      <c r="M2" t="str" cm="1">
        <f t="array" ref="M2">_xlfn.IFS(F2&lt;=500,"Excellent",F2&gt;=300,"Good",F2&lt;300,"Low")</f>
        <v>Excellent</v>
      </c>
    </row>
    <row r="3" spans="1:13" x14ac:dyDescent="0.25">
      <c r="A3" s="2">
        <v>2</v>
      </c>
      <c r="B3" s="2" t="s">
        <v>12</v>
      </c>
      <c r="C3" s="2" t="s">
        <v>13</v>
      </c>
      <c r="D3" s="2" t="s">
        <v>14</v>
      </c>
      <c r="E3" s="2">
        <v>800</v>
      </c>
      <c r="F3" s="2">
        <v>200</v>
      </c>
      <c r="G3" s="2" t="s">
        <v>15</v>
      </c>
      <c r="H3" s="2">
        <v>70</v>
      </c>
      <c r="J3" t="str" cm="1">
        <f t="array" ref="J3">_xlfn.IFS(H3&gt;80,"A",H3&gt;=70,"B",H3&gt;=50,"C",H3&lt;50,"E")</f>
        <v>B</v>
      </c>
      <c r="K3" t="str" cm="1">
        <f t="array" ref="K3">_xlfn.IFS(H3&gt;=80,"High",H3&gt;=50,"medium",H3&lt;50,"low")</f>
        <v>medium</v>
      </c>
      <c r="L3" t="str" cm="1">
        <f t="array" ref="L3">_xlfn.IFS(E3&gt;=2000,"Tier 1",E3&gt;=1000,"Tier 2",E3&lt;1000,"Tier 3")</f>
        <v>Tier 3</v>
      </c>
      <c r="M3" t="str" cm="1">
        <f t="array" ref="M3">_xlfn.IFS(F3&lt;=500,"Excellent",F3&gt;=300,"Good",F3&lt;300,"Low")</f>
        <v>Excellent</v>
      </c>
    </row>
    <row r="4" spans="1:13" x14ac:dyDescent="0.25">
      <c r="A4" s="2">
        <v>3</v>
      </c>
      <c r="B4" s="2" t="s">
        <v>16</v>
      </c>
      <c r="C4" s="2" t="s">
        <v>17</v>
      </c>
      <c r="D4" s="2" t="s">
        <v>18</v>
      </c>
      <c r="E4" s="2">
        <v>500</v>
      </c>
      <c r="F4" s="2">
        <v>100</v>
      </c>
      <c r="G4" s="2" t="s">
        <v>15</v>
      </c>
      <c r="H4" s="2">
        <v>45</v>
      </c>
      <c r="J4" t="str" cm="1">
        <f t="array" ref="J4">_xlfn.IFS(H4&gt;80,"A",H4&gt;=70,"B",H4&gt;=50,"C",H4&lt;50,"E")</f>
        <v>E</v>
      </c>
      <c r="K4" t="str" cm="1">
        <f t="array" ref="K4">_xlfn.IFS(H4&gt;=80,"High",H4&gt;=50,"medium",H4&lt;50,"low")</f>
        <v>low</v>
      </c>
      <c r="L4" t="str" cm="1">
        <f t="array" ref="L4">_xlfn.IFS(E4&gt;=2000,"Tier 1",E4&gt;=1000,"Tier 2",E4&lt;1000,"Tier 3")</f>
        <v>Tier 3</v>
      </c>
      <c r="M4" t="str" cm="1">
        <f t="array" ref="M4">_xlfn.IFS(F4&lt;=500,"Excellent",F4&gt;=300,"Good",F4&lt;300,"Low")</f>
        <v>Excellent</v>
      </c>
    </row>
    <row r="5" spans="1:13" x14ac:dyDescent="0.25">
      <c r="A5" s="2">
        <v>4</v>
      </c>
      <c r="B5" s="2" t="s">
        <v>19</v>
      </c>
      <c r="C5" s="2" t="s">
        <v>9</v>
      </c>
      <c r="D5" s="2" t="s">
        <v>10</v>
      </c>
      <c r="E5" s="2">
        <v>2200</v>
      </c>
      <c r="F5" s="2">
        <v>700</v>
      </c>
      <c r="G5" s="2" t="s">
        <v>11</v>
      </c>
      <c r="H5" s="2">
        <v>95</v>
      </c>
      <c r="J5" t="str" cm="1">
        <f t="array" ref="J5">_xlfn.IFS(H5&gt;80,"A",H5&gt;=70,"B",H5&gt;=50,"C",H5&lt;50,"E")</f>
        <v>A</v>
      </c>
      <c r="K5" t="str" cm="1">
        <f t="array" ref="K5">_xlfn.IFS(H5&gt;=80,"High",H5&gt;=50,"medium",H5&lt;50,"low")</f>
        <v>High</v>
      </c>
      <c r="L5" t="str" cm="1">
        <f t="array" ref="L5">_xlfn.IFS(E5&gt;=2000,"Tier 1",E5&gt;=1000,"Tier 2",E5&lt;1000,"Tier 3")</f>
        <v>Tier 1</v>
      </c>
      <c r="M5" t="str" cm="1">
        <f t="array" ref="M5">_xlfn.IFS(F5&lt;=500,"Excellent",F5&gt;=300,"Good",F5&lt;300,"Low")</f>
        <v>Good</v>
      </c>
    </row>
    <row r="6" spans="1:13" x14ac:dyDescent="0.25">
      <c r="A6" s="2">
        <v>5</v>
      </c>
      <c r="B6" s="2" t="s">
        <v>20</v>
      </c>
      <c r="C6" s="2" t="s">
        <v>21</v>
      </c>
      <c r="D6" s="2" t="s">
        <v>22</v>
      </c>
      <c r="E6" s="2">
        <v>300</v>
      </c>
      <c r="F6" s="2">
        <v>50</v>
      </c>
      <c r="G6" s="2" t="s">
        <v>15</v>
      </c>
      <c r="H6" s="2">
        <v>60</v>
      </c>
      <c r="J6" t="str" cm="1">
        <f t="array" ref="J6">_xlfn.IFS(H6&gt;80,"A",H6&gt;=70,"B",H6&gt;=50,"C",H6&lt;50,"E")</f>
        <v>C</v>
      </c>
      <c r="K6" t="str" cm="1">
        <f t="array" ref="K6">_xlfn.IFS(H6&gt;=80,"High",H6&gt;=50,"medium",H6&lt;50,"low")</f>
        <v>medium</v>
      </c>
      <c r="L6" t="str" cm="1">
        <f t="array" ref="L6">_xlfn.IFS(E6&gt;=2000,"Tier 1",E6&gt;=1000,"Tier 2",E6&lt;1000,"Tier 3")</f>
        <v>Tier 3</v>
      </c>
      <c r="M6" t="str" cm="1">
        <f t="array" ref="M6">_xlfn.IFS(F6&lt;=500,"Excellent",F6&gt;=300,"Good",F6&lt;300,"Low")</f>
        <v>Excellent</v>
      </c>
    </row>
    <row r="7" spans="1:13" x14ac:dyDescent="0.25">
      <c r="A7" s="2">
        <v>6</v>
      </c>
      <c r="B7" s="2" t="s">
        <v>23</v>
      </c>
      <c r="C7" s="2" t="s">
        <v>13</v>
      </c>
      <c r="D7" s="2" t="s">
        <v>18</v>
      </c>
      <c r="E7" s="2">
        <v>1500</v>
      </c>
      <c r="F7" s="2">
        <v>450</v>
      </c>
      <c r="G7" s="2" t="s">
        <v>11</v>
      </c>
      <c r="H7" s="2">
        <v>78</v>
      </c>
      <c r="J7" t="str" cm="1">
        <f t="array" ref="J7">_xlfn.IFS(H7&gt;80,"A",H7&gt;=70,"B",H7&gt;=50,"C",H7&lt;50,"E")</f>
        <v>B</v>
      </c>
      <c r="K7" t="str" cm="1">
        <f t="array" ref="K7">_xlfn.IFS(H7&gt;=80,"High",H7&gt;=50,"medium",H7&lt;50,"low")</f>
        <v>medium</v>
      </c>
      <c r="L7" t="str" cm="1">
        <f t="array" ref="L7">_xlfn.IFS(E7&gt;=2000,"Tier 1",E7&gt;=1000,"Tier 2",E7&lt;1000,"Tier 3")</f>
        <v>Tier 2</v>
      </c>
      <c r="M7" t="str" cm="1">
        <f t="array" ref="M7">_xlfn.IFS(F7&lt;=500,"Excellent",F7&gt;=300,"Good",F7&lt;300,"Low")</f>
        <v>Excellent</v>
      </c>
    </row>
    <row r="8" spans="1:13" x14ac:dyDescent="0.25">
      <c r="A8" s="2">
        <v>7</v>
      </c>
      <c r="B8" s="2" t="s">
        <v>24</v>
      </c>
      <c r="C8" s="2" t="s">
        <v>17</v>
      </c>
      <c r="D8" s="2" t="s">
        <v>10</v>
      </c>
      <c r="E8" s="2">
        <v>900</v>
      </c>
      <c r="F8" s="2">
        <v>250</v>
      </c>
      <c r="G8" s="2" t="s">
        <v>15</v>
      </c>
      <c r="H8" s="2">
        <v>55</v>
      </c>
      <c r="J8" t="str" cm="1">
        <f t="array" ref="J8">_xlfn.IFS(H8&gt;80,"A",H8&gt;=70,"B",H8&gt;=50,"C",H8&lt;50,"E")</f>
        <v>C</v>
      </c>
      <c r="K8" t="str" cm="1">
        <f t="array" ref="K8">_xlfn.IFS(H8&gt;=80,"High",H8&gt;=50,"medium",H8&lt;50,"low")</f>
        <v>medium</v>
      </c>
      <c r="L8" t="str" cm="1">
        <f t="array" ref="L8">_xlfn.IFS(E8&gt;=2000,"Tier 1",E8&gt;=1000,"Tier 2",E8&lt;1000,"Tier 3")</f>
        <v>Tier 3</v>
      </c>
      <c r="M8" t="str" cm="1">
        <f t="array" ref="M8">_xlfn.IFS(F8&lt;=500,"Excellent",F8&gt;=300,"Good",F8&lt;300,"Low")</f>
        <v>Excellent</v>
      </c>
    </row>
    <row r="9" spans="1:13" x14ac:dyDescent="0.25">
      <c r="A9" s="2">
        <v>8</v>
      </c>
      <c r="B9" s="2" t="s">
        <v>25</v>
      </c>
      <c r="C9" s="2" t="s">
        <v>21</v>
      </c>
      <c r="D9" s="2" t="s">
        <v>22</v>
      </c>
      <c r="E9" s="2">
        <v>2000</v>
      </c>
      <c r="F9" s="2">
        <v>600</v>
      </c>
      <c r="G9" s="2" t="s">
        <v>11</v>
      </c>
      <c r="H9" s="2">
        <v>88</v>
      </c>
      <c r="J9" t="str" cm="1">
        <f t="array" ref="J9">_xlfn.IFS(H9&gt;80,"A",H9&gt;=70,"B",H9&gt;=50,"C",H9&lt;50,"E")</f>
        <v>A</v>
      </c>
      <c r="K9" t="str" cm="1">
        <f t="array" ref="K9">_xlfn.IFS(H9&gt;=80,"High",H9&gt;=50,"medium",H9&lt;50,"low")</f>
        <v>High</v>
      </c>
      <c r="L9" t="str" cm="1">
        <f t="array" ref="L9">_xlfn.IFS(E9&gt;=2000,"Tier 1",E9&gt;=1000,"Tier 2",E9&lt;1000,"Tier 3")</f>
        <v>Tier 1</v>
      </c>
      <c r="M9" t="str" cm="1">
        <f t="array" ref="M9">_xlfn.IFS(F9&lt;=500,"Excellent",F9&gt;=300,"Good",F9&lt;300,"Low")</f>
        <v>Good</v>
      </c>
    </row>
    <row r="10" spans="1:13" x14ac:dyDescent="0.25">
      <c r="A10" s="2">
        <v>9</v>
      </c>
      <c r="B10" s="2" t="s">
        <v>26</v>
      </c>
      <c r="C10" s="2" t="s">
        <v>9</v>
      </c>
      <c r="D10" s="2" t="s">
        <v>14</v>
      </c>
      <c r="E10" s="2">
        <v>750</v>
      </c>
      <c r="F10" s="2">
        <v>150</v>
      </c>
      <c r="G10" s="2" t="s">
        <v>15</v>
      </c>
      <c r="H10" s="2">
        <v>40</v>
      </c>
      <c r="J10" t="str" cm="1">
        <f t="array" ref="J10">_xlfn.IFS(H10&gt;80,"A",H10&gt;=70,"B",H10&gt;=50,"C",H10&lt;50,"E")</f>
        <v>E</v>
      </c>
      <c r="K10" t="str" cm="1">
        <f t="array" ref="K10">_xlfn.IFS(H10&gt;=80,"High",H10&gt;=50,"medium",H10&lt;50,"low")</f>
        <v>low</v>
      </c>
      <c r="L10" t="str" cm="1">
        <f t="array" ref="L10">_xlfn.IFS(E10&gt;=2000,"Tier 1",E10&gt;=1000,"Tier 2",E10&lt;1000,"Tier 3")</f>
        <v>Tier 3</v>
      </c>
      <c r="M10" t="str" cm="1">
        <f t="array" ref="M10">_xlfn.IFS(F10&lt;=500,"Excellent",F10&gt;=300,"Good",F10&lt;300,"Low")</f>
        <v>Excellent</v>
      </c>
    </row>
    <row r="11" spans="1:13" x14ac:dyDescent="0.25">
      <c r="A11" s="2">
        <v>10</v>
      </c>
      <c r="B11" s="2" t="s">
        <v>27</v>
      </c>
      <c r="C11" s="2" t="s">
        <v>13</v>
      </c>
      <c r="D11" s="2" t="s">
        <v>22</v>
      </c>
      <c r="E11" s="2">
        <v>1300</v>
      </c>
      <c r="F11" s="2">
        <v>500</v>
      </c>
      <c r="G11" s="2" t="s">
        <v>11</v>
      </c>
      <c r="H11" s="2">
        <v>92</v>
      </c>
      <c r="J11" t="str" cm="1">
        <f t="array" ref="J11">_xlfn.IFS(H11&gt;80,"A",H11&gt;=70,"B",H11&gt;=50,"C",H11&lt;50,"E")</f>
        <v>A</v>
      </c>
      <c r="K11" t="str" cm="1">
        <f t="array" ref="K11">_xlfn.IFS(H11&gt;=80,"High",H11&gt;=50,"medium",H11&lt;50,"low")</f>
        <v>High</v>
      </c>
      <c r="L11" t="str" cm="1">
        <f t="array" ref="L11">_xlfn.IFS(E11&gt;=2000,"Tier 1",E11&gt;=1000,"Tier 2",E11&lt;1000,"Tier 3")</f>
        <v>Tier 2</v>
      </c>
      <c r="M11" t="str" cm="1">
        <f t="array" ref="M11">_xlfn.IFS(F11&lt;=500,"Excellent",F11&gt;=300,"Good",F11&lt;300,"Low")</f>
        <v>Excellent</v>
      </c>
    </row>
    <row r="12" spans="1:13" x14ac:dyDescent="0.25">
      <c r="A12" s="2">
        <v>11</v>
      </c>
      <c r="B12" s="2" t="s">
        <v>28</v>
      </c>
      <c r="C12" s="2" t="s">
        <v>17</v>
      </c>
      <c r="D12" s="2" t="s">
        <v>18</v>
      </c>
      <c r="E12" s="2">
        <v>600</v>
      </c>
      <c r="F12" s="2">
        <v>120</v>
      </c>
      <c r="G12" s="2" t="s">
        <v>15</v>
      </c>
      <c r="H12" s="2">
        <v>67</v>
      </c>
      <c r="J12" t="str" cm="1">
        <f t="array" ref="J12">_xlfn.IFS(H12&gt;80,"A",H12&gt;=70,"B",H12&gt;=50,"C",H12&lt;50,"E")</f>
        <v>C</v>
      </c>
      <c r="K12" t="str" cm="1">
        <f t="array" ref="K12">_xlfn.IFS(H12&gt;=80,"High",H12&gt;=50,"medium",H12&lt;50,"low")</f>
        <v>medium</v>
      </c>
      <c r="L12" t="str" cm="1">
        <f t="array" ref="L12">_xlfn.IFS(E12&gt;=2000,"Tier 1",E12&gt;=1000,"Tier 2",E12&lt;1000,"Tier 3")</f>
        <v>Tier 3</v>
      </c>
      <c r="M12" t="str" cm="1">
        <f t="array" ref="M12">_xlfn.IFS(F12&lt;=500,"Excellent",F12&gt;=300,"Good",F12&lt;300,"Low")</f>
        <v>Excellent</v>
      </c>
    </row>
    <row r="13" spans="1:13" x14ac:dyDescent="0.25">
      <c r="A13" s="2">
        <v>12</v>
      </c>
      <c r="B13" s="2" t="s">
        <v>29</v>
      </c>
      <c r="C13" s="2" t="s">
        <v>9</v>
      </c>
      <c r="D13" s="2" t="s">
        <v>14</v>
      </c>
      <c r="E13" s="2">
        <v>1800</v>
      </c>
      <c r="F13" s="2">
        <v>550</v>
      </c>
      <c r="G13" s="2" t="s">
        <v>11</v>
      </c>
      <c r="H13" s="2">
        <v>80</v>
      </c>
      <c r="J13" t="str" cm="1">
        <f t="array" ref="J13">_xlfn.IFS(H13&gt;80,"A",H13&gt;=70,"B",H13&gt;=50,"C",H13&lt;50,"E")</f>
        <v>B</v>
      </c>
      <c r="K13" t="str" cm="1">
        <f t="array" ref="K13">_xlfn.IFS(H13&gt;=80,"High",H13&gt;=50,"medium",H13&lt;50,"low")</f>
        <v>High</v>
      </c>
      <c r="L13" t="str" cm="1">
        <f t="array" ref="L13">_xlfn.IFS(E13&gt;=2000,"Tier 1",E13&gt;=1000,"Tier 2",E13&lt;1000,"Tier 3")</f>
        <v>Tier 2</v>
      </c>
      <c r="M13" t="str" cm="1">
        <f t="array" ref="M13">_xlfn.IFS(F13&lt;=500,"Excellent",F13&gt;=300,"Good",F13&lt;300,"Low")</f>
        <v>Good</v>
      </c>
    </row>
    <row r="14" spans="1:13" x14ac:dyDescent="0.25">
      <c r="A14" s="2">
        <v>13</v>
      </c>
      <c r="B14" s="2" t="s">
        <v>30</v>
      </c>
      <c r="C14" s="2" t="s">
        <v>21</v>
      </c>
      <c r="D14" s="2" t="s">
        <v>10</v>
      </c>
      <c r="E14" s="2">
        <v>400</v>
      </c>
      <c r="F14" s="2">
        <v>90</v>
      </c>
      <c r="G14" s="2" t="s">
        <v>15</v>
      </c>
      <c r="H14" s="2">
        <v>50</v>
      </c>
      <c r="J14" t="str" cm="1">
        <f t="array" ref="J14">_xlfn.IFS(H14&gt;80,"A",H14&gt;=70,"B",H14&gt;=50,"C",H14&lt;50,"E")</f>
        <v>C</v>
      </c>
      <c r="K14" t="str" cm="1">
        <f t="array" ref="K14">_xlfn.IFS(H14&gt;=80,"High",H14&gt;=50,"medium",H14&lt;50,"low")</f>
        <v>medium</v>
      </c>
      <c r="L14" t="str" cm="1">
        <f t="array" ref="L14">_xlfn.IFS(E14&gt;=2000,"Tier 1",E14&gt;=1000,"Tier 2",E14&lt;1000,"Tier 3")</f>
        <v>Tier 3</v>
      </c>
      <c r="M14" t="str" cm="1">
        <f t="array" ref="M14">_xlfn.IFS(F14&lt;=500,"Excellent",F14&gt;=300,"Good",F14&lt;300,"Low")</f>
        <v>Excellent</v>
      </c>
    </row>
    <row r="15" spans="1:13" x14ac:dyDescent="0.25">
      <c r="A15" s="2">
        <v>14</v>
      </c>
      <c r="B15" s="2" t="s">
        <v>31</v>
      </c>
      <c r="C15" s="2" t="s">
        <v>13</v>
      </c>
      <c r="D15" s="2" t="s">
        <v>18</v>
      </c>
      <c r="E15" s="2">
        <v>1100</v>
      </c>
      <c r="F15" s="2">
        <v>330</v>
      </c>
      <c r="G15" s="2" t="s">
        <v>11</v>
      </c>
      <c r="H15" s="2">
        <v>34</v>
      </c>
      <c r="J15" t="str" cm="1">
        <f t="array" ref="J15">_xlfn.IFS(H15&gt;80,"A",H15&gt;=70,"B",H15&gt;=50,"C",H15&lt;50,"E")</f>
        <v>E</v>
      </c>
      <c r="K15" t="str" cm="1">
        <f t="array" ref="K15">_xlfn.IFS(H15&gt;=80,"High",H15&gt;=50,"medium",H15&lt;50,"low")</f>
        <v>low</v>
      </c>
      <c r="L15" t="str" cm="1">
        <f t="array" ref="L15">_xlfn.IFS(E15&gt;=2000,"Tier 1",E15&gt;=1000,"Tier 2",E15&lt;1000,"Tier 3")</f>
        <v>Tier 2</v>
      </c>
      <c r="M15" t="str" cm="1">
        <f t="array" ref="M15">_xlfn.IFS(F15&lt;=500,"Excellent",F15&gt;=300,"Good",F15&lt;300,"Low")</f>
        <v>Excellent</v>
      </c>
    </row>
    <row r="16" spans="1:13" x14ac:dyDescent="0.25">
      <c r="A16" s="2">
        <v>15</v>
      </c>
      <c r="B16" s="2" t="s">
        <v>32</v>
      </c>
      <c r="C16" s="2" t="s">
        <v>9</v>
      </c>
      <c r="D16" s="2" t="s">
        <v>22</v>
      </c>
      <c r="E16" s="2">
        <v>950</v>
      </c>
      <c r="F16" s="2">
        <v>180</v>
      </c>
      <c r="G16" s="2" t="s">
        <v>15</v>
      </c>
      <c r="H16" s="2">
        <v>50</v>
      </c>
      <c r="J16" t="str" cm="1">
        <f t="array" ref="J16">_xlfn.IFS(H16&gt;80,"A",H16&gt;=70,"B",H16&gt;=50,"C",H16&lt;50,"E")</f>
        <v>C</v>
      </c>
      <c r="K16" t="str" cm="1">
        <f t="array" ref="K16">_xlfn.IFS(H16&gt;=80,"High",H16&gt;=50,"medium",H16&lt;50,"low")</f>
        <v>medium</v>
      </c>
      <c r="L16" t="str" cm="1">
        <f t="array" ref="L16">_xlfn.IFS(E16&gt;=2000,"Tier 1",E16&gt;=1000,"Tier 2",E16&lt;1000,"Tier 3")</f>
        <v>Tier 3</v>
      </c>
      <c r="M16" t="str" cm="1">
        <f t="array" ref="M16">_xlfn.IFS(F16&lt;=500,"Excellent",F16&gt;=300,"Good",F16&lt;300,"Low")</f>
        <v>Excellent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BB68-82EF-4A29-B79F-A722DD9D1E80}">
  <dimension ref="A1:L16"/>
  <sheetViews>
    <sheetView topLeftCell="B1" workbookViewId="0">
      <selection activeCell="K14" sqref="K14"/>
    </sheetView>
  </sheetViews>
  <sheetFormatPr defaultRowHeight="15" x14ac:dyDescent="0.25"/>
  <cols>
    <col min="1" max="1" width="2.85546875" bestFit="1" customWidth="1"/>
    <col min="2" max="2" width="14.42578125" bestFit="1" customWidth="1"/>
    <col min="3" max="3" width="6.5703125" bestFit="1" customWidth="1"/>
    <col min="4" max="4" width="11" bestFit="1" customWidth="1"/>
    <col min="5" max="6" width="5.42578125" bestFit="1" customWidth="1"/>
    <col min="7" max="7" width="9.42578125" bestFit="1" customWidth="1"/>
    <col min="8" max="8" width="5.85546875" bestFit="1" customWidth="1"/>
    <col min="10" max="10" width="14.85546875" customWidth="1"/>
    <col min="11" max="11" width="19.85546875" customWidth="1"/>
    <col min="12" max="12" width="27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36</v>
      </c>
      <c r="K1" s="1" t="s">
        <v>37</v>
      </c>
      <c r="L1" s="1" t="s">
        <v>38</v>
      </c>
    </row>
    <row r="2" spans="1:12" x14ac:dyDescent="0.25">
      <c r="A2" s="2">
        <v>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 t="s">
        <v>11</v>
      </c>
      <c r="H2" s="2">
        <v>85</v>
      </c>
      <c r="J2">
        <f>SUMIF(D2:D16,"Laptop",E2:E16)</f>
        <v>4700</v>
      </c>
      <c r="K2">
        <f>SUMIF(D2:D16,"Books",E2:E16)</f>
        <v>4550</v>
      </c>
      <c r="L2">
        <f>SUMIF(D2:D16,"Smartphone",E2:E16)</f>
        <v>3350</v>
      </c>
    </row>
    <row r="3" spans="1:12" x14ac:dyDescent="0.25">
      <c r="A3" s="2">
        <v>2</v>
      </c>
      <c r="B3" s="2" t="s">
        <v>12</v>
      </c>
      <c r="C3" s="2" t="s">
        <v>13</v>
      </c>
      <c r="D3" s="2" t="s">
        <v>14</v>
      </c>
      <c r="E3" s="2">
        <v>800</v>
      </c>
      <c r="F3" s="2">
        <v>200</v>
      </c>
      <c r="G3" s="2" t="s">
        <v>15</v>
      </c>
      <c r="H3" s="2">
        <v>70</v>
      </c>
      <c r="J3" s="8" t="s">
        <v>48</v>
      </c>
      <c r="K3" s="8"/>
    </row>
    <row r="4" spans="1:12" x14ac:dyDescent="0.25">
      <c r="A4" s="2">
        <v>3</v>
      </c>
      <c r="B4" s="2" t="s">
        <v>16</v>
      </c>
      <c r="C4" s="2" t="s">
        <v>17</v>
      </c>
      <c r="D4" s="2" t="s">
        <v>18</v>
      </c>
      <c r="E4" s="2">
        <v>500</v>
      </c>
      <c r="F4" s="2">
        <v>100</v>
      </c>
      <c r="G4" s="2" t="s">
        <v>15</v>
      </c>
      <c r="H4" s="2">
        <v>45</v>
      </c>
      <c r="J4" s="4" t="s">
        <v>39</v>
      </c>
      <c r="K4" s="4" t="s">
        <v>40</v>
      </c>
    </row>
    <row r="5" spans="1:12" x14ac:dyDescent="0.25">
      <c r="A5" s="2">
        <v>4</v>
      </c>
      <c r="B5" s="2" t="s">
        <v>19</v>
      </c>
      <c r="C5" s="2" t="s">
        <v>9</v>
      </c>
      <c r="D5" s="2" t="s">
        <v>10</v>
      </c>
      <c r="E5" s="2">
        <v>2200</v>
      </c>
      <c r="F5" s="2">
        <v>700</v>
      </c>
      <c r="G5" s="2" t="s">
        <v>11</v>
      </c>
      <c r="H5" s="2">
        <v>95</v>
      </c>
      <c r="J5" s="2" t="s">
        <v>10</v>
      </c>
      <c r="K5">
        <f>SUMIF($D$2:$D$16,J5,$E$2:$E$16)</f>
        <v>4700</v>
      </c>
    </row>
    <row r="6" spans="1:12" x14ac:dyDescent="0.25">
      <c r="A6" s="2">
        <v>5</v>
      </c>
      <c r="B6" s="2" t="s">
        <v>20</v>
      </c>
      <c r="C6" s="2" t="s">
        <v>21</v>
      </c>
      <c r="D6" s="2" t="s">
        <v>22</v>
      </c>
      <c r="E6" s="2">
        <v>300</v>
      </c>
      <c r="F6" s="2">
        <v>50</v>
      </c>
      <c r="G6" s="2" t="s">
        <v>15</v>
      </c>
      <c r="H6" s="2">
        <v>60</v>
      </c>
      <c r="J6" s="2" t="s">
        <v>14</v>
      </c>
      <c r="K6">
        <f t="shared" ref="K6:K8" si="0">SUMIF($D$2:$D$16,J6,$E$2:$E$16)</f>
        <v>3350</v>
      </c>
    </row>
    <row r="7" spans="1:12" x14ac:dyDescent="0.25">
      <c r="A7" s="2">
        <v>6</v>
      </c>
      <c r="B7" s="2" t="s">
        <v>23</v>
      </c>
      <c r="C7" s="2" t="s">
        <v>13</v>
      </c>
      <c r="D7" s="2" t="s">
        <v>18</v>
      </c>
      <c r="E7" s="2">
        <v>1500</v>
      </c>
      <c r="F7" s="2">
        <v>450</v>
      </c>
      <c r="G7" s="2" t="s">
        <v>11</v>
      </c>
      <c r="H7" s="2">
        <v>78</v>
      </c>
      <c r="J7" s="2" t="s">
        <v>18</v>
      </c>
      <c r="K7">
        <f t="shared" si="0"/>
        <v>3700</v>
      </c>
    </row>
    <row r="8" spans="1:12" x14ac:dyDescent="0.25">
      <c r="A8" s="2">
        <v>7</v>
      </c>
      <c r="B8" s="2" t="s">
        <v>24</v>
      </c>
      <c r="C8" s="2" t="s">
        <v>17</v>
      </c>
      <c r="D8" s="2" t="s">
        <v>10</v>
      </c>
      <c r="E8" s="2">
        <v>900</v>
      </c>
      <c r="F8" s="2">
        <v>250</v>
      </c>
      <c r="G8" s="2" t="s">
        <v>15</v>
      </c>
      <c r="H8" s="2">
        <v>55</v>
      </c>
      <c r="J8" s="2" t="s">
        <v>22</v>
      </c>
      <c r="K8">
        <f t="shared" si="0"/>
        <v>4550</v>
      </c>
    </row>
    <row r="9" spans="1:12" x14ac:dyDescent="0.25">
      <c r="A9" s="2">
        <v>8</v>
      </c>
      <c r="B9" s="2" t="s">
        <v>25</v>
      </c>
      <c r="C9" s="2" t="s">
        <v>21</v>
      </c>
      <c r="D9" s="2" t="s">
        <v>22</v>
      </c>
      <c r="E9" s="2">
        <v>2000</v>
      </c>
      <c r="F9" s="2">
        <v>600</v>
      </c>
      <c r="G9" s="2" t="s">
        <v>11</v>
      </c>
      <c r="H9" s="2">
        <v>88</v>
      </c>
    </row>
    <row r="10" spans="1:12" x14ac:dyDescent="0.25">
      <c r="A10" s="2">
        <v>9</v>
      </c>
      <c r="B10" s="2" t="s">
        <v>26</v>
      </c>
      <c r="C10" s="2" t="s">
        <v>9</v>
      </c>
      <c r="D10" s="2" t="s">
        <v>14</v>
      </c>
      <c r="E10" s="2">
        <v>750</v>
      </c>
      <c r="F10" s="2">
        <v>150</v>
      </c>
      <c r="G10" s="2" t="s">
        <v>15</v>
      </c>
      <c r="H10" s="2">
        <v>40</v>
      </c>
      <c r="J10" s="7" t="s">
        <v>47</v>
      </c>
      <c r="K10" s="7"/>
    </row>
    <row r="11" spans="1:12" x14ac:dyDescent="0.25">
      <c r="A11" s="2">
        <v>10</v>
      </c>
      <c r="B11" s="2" t="s">
        <v>27</v>
      </c>
      <c r="C11" s="2" t="s">
        <v>13</v>
      </c>
      <c r="D11" s="2" t="s">
        <v>22</v>
      </c>
      <c r="E11" s="2">
        <v>1300</v>
      </c>
      <c r="F11" s="2">
        <v>500</v>
      </c>
      <c r="G11" s="2" t="s">
        <v>11</v>
      </c>
      <c r="H11" s="2">
        <v>92</v>
      </c>
      <c r="J11" s="5" t="s">
        <v>3</v>
      </c>
      <c r="K11" s="4" t="s">
        <v>5</v>
      </c>
    </row>
    <row r="12" spans="1:12" x14ac:dyDescent="0.25">
      <c r="A12" s="2">
        <v>11</v>
      </c>
      <c r="B12" s="2" t="s">
        <v>28</v>
      </c>
      <c r="C12" s="2" t="s">
        <v>17</v>
      </c>
      <c r="D12" s="2" t="s">
        <v>18</v>
      </c>
      <c r="E12" s="2">
        <v>600</v>
      </c>
      <c r="F12" s="2">
        <v>120</v>
      </c>
      <c r="G12" s="2" t="s">
        <v>15</v>
      </c>
      <c r="H12" s="2">
        <v>67</v>
      </c>
      <c r="J12" s="2" t="s">
        <v>10</v>
      </c>
      <c r="K12">
        <f>SUMIF($D$2:$D$16,J12,$F$2:$F$16)</f>
        <v>1340</v>
      </c>
    </row>
    <row r="13" spans="1:12" x14ac:dyDescent="0.25">
      <c r="A13" s="2">
        <v>12</v>
      </c>
      <c r="B13" s="2" t="s">
        <v>29</v>
      </c>
      <c r="C13" s="2" t="s">
        <v>9</v>
      </c>
      <c r="D13" s="2" t="s">
        <v>14</v>
      </c>
      <c r="E13" s="2">
        <v>1800</v>
      </c>
      <c r="F13" s="2">
        <v>550</v>
      </c>
      <c r="G13" s="2" t="s">
        <v>11</v>
      </c>
      <c r="H13" s="2">
        <v>80</v>
      </c>
      <c r="J13" s="2" t="s">
        <v>14</v>
      </c>
      <c r="K13">
        <f t="shared" ref="K13:K15" si="1">SUMIF($D$2:$D$16,J13,$F$2:$F$16)</f>
        <v>900</v>
      </c>
    </row>
    <row r="14" spans="1:12" x14ac:dyDescent="0.25">
      <c r="A14" s="2">
        <v>13</v>
      </c>
      <c r="B14" s="2" t="s">
        <v>30</v>
      </c>
      <c r="C14" s="2" t="s">
        <v>21</v>
      </c>
      <c r="D14" s="2" t="s">
        <v>10</v>
      </c>
      <c r="E14" s="2">
        <v>400</v>
      </c>
      <c r="F14" s="2">
        <v>90</v>
      </c>
      <c r="G14" s="2" t="s">
        <v>15</v>
      </c>
      <c r="H14" s="2">
        <v>50</v>
      </c>
      <c r="J14" s="2" t="s">
        <v>18</v>
      </c>
      <c r="K14">
        <f t="shared" si="1"/>
        <v>1000</v>
      </c>
    </row>
    <row r="15" spans="1:12" x14ac:dyDescent="0.25">
      <c r="A15" s="2">
        <v>14</v>
      </c>
      <c r="B15" s="2" t="s">
        <v>31</v>
      </c>
      <c r="C15" s="2" t="s">
        <v>13</v>
      </c>
      <c r="D15" s="2" t="s">
        <v>18</v>
      </c>
      <c r="E15" s="2">
        <v>1100</v>
      </c>
      <c r="F15" s="2">
        <v>330</v>
      </c>
      <c r="G15" s="2" t="s">
        <v>11</v>
      </c>
      <c r="H15" s="2">
        <v>72</v>
      </c>
      <c r="J15" s="2" t="s">
        <v>22</v>
      </c>
      <c r="K15">
        <f t="shared" si="1"/>
        <v>1330</v>
      </c>
    </row>
    <row r="16" spans="1:12" x14ac:dyDescent="0.25">
      <c r="A16" s="2">
        <v>15</v>
      </c>
      <c r="B16" s="2" t="s">
        <v>32</v>
      </c>
      <c r="C16" s="2" t="s">
        <v>9</v>
      </c>
      <c r="D16" s="2" t="s">
        <v>22</v>
      </c>
      <c r="E16" s="2">
        <v>950</v>
      </c>
      <c r="F16" s="2">
        <v>180</v>
      </c>
      <c r="G16" s="2" t="s">
        <v>15</v>
      </c>
      <c r="H16" s="3"/>
    </row>
  </sheetData>
  <mergeCells count="2">
    <mergeCell ref="J10:K10"/>
    <mergeCell ref="J3: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9A8A-CE23-41B1-B110-E7E428C3CBA0}">
  <dimension ref="A1:O17"/>
  <sheetViews>
    <sheetView topLeftCell="D1" zoomScale="98" zoomScaleNormal="98" workbookViewId="0">
      <selection activeCell="M17" sqref="M17"/>
    </sheetView>
  </sheetViews>
  <sheetFormatPr defaultRowHeight="15" x14ac:dyDescent="0.25"/>
  <cols>
    <col min="1" max="1" width="2.85546875" bestFit="1" customWidth="1"/>
    <col min="2" max="2" width="14.42578125" bestFit="1" customWidth="1"/>
    <col min="3" max="3" width="6.5703125" bestFit="1" customWidth="1"/>
    <col min="4" max="4" width="11" bestFit="1" customWidth="1"/>
    <col min="5" max="6" width="5.42578125" bestFit="1" customWidth="1"/>
    <col min="7" max="7" width="9.42578125" bestFit="1" customWidth="1"/>
    <col min="8" max="8" width="5.85546875" bestFit="1" customWidth="1"/>
    <col min="9" max="9" width="5.85546875" customWidth="1"/>
    <col min="11" max="12" width="13.855468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K1" s="1"/>
      <c r="L1" s="1"/>
    </row>
    <row r="2" spans="1:15" x14ac:dyDescent="0.25">
      <c r="A2" s="2">
        <v>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 t="s">
        <v>11</v>
      </c>
      <c r="H2" s="2">
        <v>85</v>
      </c>
      <c r="I2" s="2"/>
    </row>
    <row r="3" spans="1:15" x14ac:dyDescent="0.25">
      <c r="A3" s="2">
        <v>2</v>
      </c>
      <c r="B3" s="2" t="s">
        <v>12</v>
      </c>
      <c r="C3" s="2" t="s">
        <v>13</v>
      </c>
      <c r="D3" s="2" t="s">
        <v>14</v>
      </c>
      <c r="E3" s="2">
        <v>800</v>
      </c>
      <c r="F3" s="2">
        <v>200</v>
      </c>
      <c r="G3" s="2" t="s">
        <v>15</v>
      </c>
      <c r="H3" s="2">
        <v>70</v>
      </c>
      <c r="I3" s="2"/>
      <c r="K3" s="8" t="s">
        <v>49</v>
      </c>
      <c r="L3" s="8"/>
      <c r="M3" s="8"/>
    </row>
    <row r="4" spans="1:15" x14ac:dyDescent="0.25">
      <c r="A4" s="2">
        <v>3</v>
      </c>
      <c r="B4" s="2" t="s">
        <v>16</v>
      </c>
      <c r="C4" s="2" t="s">
        <v>17</v>
      </c>
      <c r="D4" s="2" t="s">
        <v>18</v>
      </c>
      <c r="E4" s="2">
        <v>500</v>
      </c>
      <c r="F4" s="2">
        <v>100</v>
      </c>
      <c r="G4" s="2" t="s">
        <v>15</v>
      </c>
      <c r="H4" s="2">
        <v>45</v>
      </c>
      <c r="I4" s="2"/>
      <c r="K4" s="6" t="s">
        <v>39</v>
      </c>
      <c r="L4" s="8" t="s">
        <v>50</v>
      </c>
      <c r="M4" s="8"/>
      <c r="N4" s="8"/>
    </row>
    <row r="5" spans="1:15" x14ac:dyDescent="0.25">
      <c r="A5" s="2">
        <v>4</v>
      </c>
      <c r="B5" s="2" t="s">
        <v>19</v>
      </c>
      <c r="C5" s="2" t="s">
        <v>9</v>
      </c>
      <c r="D5" s="2" t="s">
        <v>10</v>
      </c>
      <c r="E5" s="2">
        <v>2200</v>
      </c>
      <c r="F5" s="2">
        <v>700</v>
      </c>
      <c r="G5" s="2" t="s">
        <v>11</v>
      </c>
      <c r="H5" s="2">
        <v>95</v>
      </c>
      <c r="I5" s="2"/>
      <c r="L5" s="2" t="s">
        <v>9</v>
      </c>
      <c r="M5" s="2" t="s">
        <v>13</v>
      </c>
      <c r="N5" s="2" t="s">
        <v>21</v>
      </c>
      <c r="O5" s="2" t="s">
        <v>17</v>
      </c>
    </row>
    <row r="6" spans="1:15" x14ac:dyDescent="0.25">
      <c r="A6" s="2">
        <v>5</v>
      </c>
      <c r="B6" s="2" t="s">
        <v>20</v>
      </c>
      <c r="C6" s="2" t="s">
        <v>21</v>
      </c>
      <c r="D6" s="2" t="s">
        <v>22</v>
      </c>
      <c r="E6" s="2">
        <v>300</v>
      </c>
      <c r="F6" s="2">
        <v>50</v>
      </c>
      <c r="G6" s="2" t="s">
        <v>15</v>
      </c>
      <c r="H6" s="2">
        <v>60</v>
      </c>
      <c r="I6" s="2"/>
      <c r="K6" s="2" t="s">
        <v>10</v>
      </c>
      <c r="L6">
        <f>SUMIFS($E$2:$E$16,$C$2:C$16,L$5,$D$2:$D$16,K6)</f>
        <v>3400</v>
      </c>
      <c r="M6">
        <f>SUMIFS($E$2:$E$16,$C$2:$C$16,$M$5,$D$2:$D$16,K6)</f>
        <v>0</v>
      </c>
      <c r="N6">
        <f>SUMIFS($E$2:$E$16,$C$2:$C$16,$N$5,$D$2:$D$16,K6)</f>
        <v>400</v>
      </c>
      <c r="O6">
        <f>SUMIFS($E$2:$E$16,$C$2:$C$16,$O$5,$D$2:$D$16,K6)</f>
        <v>900</v>
      </c>
    </row>
    <row r="7" spans="1:15" x14ac:dyDescent="0.25">
      <c r="A7" s="2">
        <v>6</v>
      </c>
      <c r="B7" s="2" t="s">
        <v>23</v>
      </c>
      <c r="C7" s="2" t="s">
        <v>13</v>
      </c>
      <c r="D7" s="2" t="s">
        <v>18</v>
      </c>
      <c r="E7" s="2">
        <v>1500</v>
      </c>
      <c r="F7" s="2">
        <v>450</v>
      </c>
      <c r="G7" s="2" t="s">
        <v>11</v>
      </c>
      <c r="H7" s="2">
        <v>78</v>
      </c>
      <c r="I7" s="2"/>
      <c r="K7" s="2" t="s">
        <v>14</v>
      </c>
      <c r="L7">
        <f>SUMIFS($E$2:$E$16,$C$2:C$16,L$5,$D$2:$D$16,K7)</f>
        <v>2550</v>
      </c>
      <c r="M7">
        <f>SUMIFS($E$2:$E$16,$C$2:$C$16,$M$5,$D$2:$D$16,K7)</f>
        <v>800</v>
      </c>
      <c r="N7">
        <f t="shared" ref="N7:N9" si="0">SUMIFS($E$2:$E$16,$C$2:$C$16,$N$5,$D$2:$D$16,K7)</f>
        <v>0</v>
      </c>
      <c r="O7">
        <f>SUMIFS($E$2:$E$16,$C$2:$C$16,$O$5,$D$2:$D$16,K7)</f>
        <v>0</v>
      </c>
    </row>
    <row r="8" spans="1:15" x14ac:dyDescent="0.25">
      <c r="A8" s="2">
        <v>7</v>
      </c>
      <c r="B8" s="2" t="s">
        <v>24</v>
      </c>
      <c r="C8" s="2" t="s">
        <v>17</v>
      </c>
      <c r="D8" s="2" t="s">
        <v>10</v>
      </c>
      <c r="E8" s="2">
        <v>900</v>
      </c>
      <c r="F8" s="2">
        <v>250</v>
      </c>
      <c r="G8" s="2" t="s">
        <v>15</v>
      </c>
      <c r="H8" s="2">
        <v>55</v>
      </c>
      <c r="I8" s="2"/>
      <c r="K8" s="2" t="s">
        <v>18</v>
      </c>
      <c r="L8">
        <f>SUMIFS($E$2:$E$16,$C$2:C$16,L$5,$D$2:$D$16,K8)</f>
        <v>0</v>
      </c>
      <c r="M8">
        <f t="shared" ref="M8:M9" si="1">SUMIFS($E$2:$E$16,$C$2:$C$16,$M$5,$D$2:$D$16,K8)</f>
        <v>2600</v>
      </c>
      <c r="N8">
        <f t="shared" si="0"/>
        <v>0</v>
      </c>
      <c r="O8">
        <f t="shared" ref="O8:O9" si="2">SUMIFS($E$2:$E$16,$C$2:$C$16,$O$5,$D$2:$D$16,K8)</f>
        <v>1100</v>
      </c>
    </row>
    <row r="9" spans="1:15" x14ac:dyDescent="0.25">
      <c r="A9" s="2">
        <v>8</v>
      </c>
      <c r="B9" s="2" t="s">
        <v>25</v>
      </c>
      <c r="C9" s="2" t="s">
        <v>21</v>
      </c>
      <c r="D9" s="2" t="s">
        <v>22</v>
      </c>
      <c r="E9" s="2">
        <v>2000</v>
      </c>
      <c r="F9" s="2">
        <v>600</v>
      </c>
      <c r="G9" s="2" t="s">
        <v>11</v>
      </c>
      <c r="H9" s="2">
        <v>88</v>
      </c>
      <c r="I9" s="2"/>
      <c r="K9" s="2" t="s">
        <v>22</v>
      </c>
      <c r="L9">
        <f>SUMIFS($E$2:$E$16,$C$2:C$16,L$5,$D$2:$D$16,K9)</f>
        <v>950</v>
      </c>
      <c r="M9">
        <f t="shared" si="1"/>
        <v>1300</v>
      </c>
      <c r="N9">
        <f t="shared" si="0"/>
        <v>2300</v>
      </c>
      <c r="O9">
        <f t="shared" si="2"/>
        <v>0</v>
      </c>
    </row>
    <row r="10" spans="1:15" x14ac:dyDescent="0.25">
      <c r="A10" s="2">
        <v>9</v>
      </c>
      <c r="B10" s="2" t="s">
        <v>26</v>
      </c>
      <c r="C10" s="2" t="s">
        <v>9</v>
      </c>
      <c r="D10" s="2" t="s">
        <v>14</v>
      </c>
      <c r="E10" s="2">
        <v>750</v>
      </c>
      <c r="F10" s="2">
        <v>150</v>
      </c>
      <c r="G10" s="2" t="s">
        <v>15</v>
      </c>
      <c r="H10" s="2">
        <v>40</v>
      </c>
      <c r="I10" s="2"/>
      <c r="K10" s="4"/>
      <c r="L10" s="4"/>
    </row>
    <row r="11" spans="1:15" x14ac:dyDescent="0.25">
      <c r="A11" s="2">
        <v>10</v>
      </c>
      <c r="B11" s="2" t="s">
        <v>27</v>
      </c>
      <c r="C11" s="2" t="s">
        <v>13</v>
      </c>
      <c r="D11" s="2" t="s">
        <v>22</v>
      </c>
      <c r="E11" s="2">
        <v>1300</v>
      </c>
      <c r="F11" s="2">
        <v>500</v>
      </c>
      <c r="G11" s="2" t="s">
        <v>11</v>
      </c>
      <c r="H11" s="2">
        <v>92</v>
      </c>
      <c r="I11" s="2"/>
      <c r="K11" s="8" t="s">
        <v>51</v>
      </c>
      <c r="L11" s="8"/>
      <c r="M11" s="8"/>
      <c r="N11" s="8"/>
    </row>
    <row r="12" spans="1:15" x14ac:dyDescent="0.25">
      <c r="A12" s="2">
        <v>11</v>
      </c>
      <c r="B12" s="2" t="s">
        <v>28</v>
      </c>
      <c r="C12" s="2" t="s">
        <v>17</v>
      </c>
      <c r="D12" s="2" t="s">
        <v>18</v>
      </c>
      <c r="E12" s="2">
        <v>600</v>
      </c>
      <c r="F12" s="2">
        <v>120</v>
      </c>
      <c r="G12" s="2" t="s">
        <v>15</v>
      </c>
      <c r="H12" s="2">
        <v>67</v>
      </c>
      <c r="I12" s="2"/>
      <c r="K12" s="5" t="s">
        <v>3</v>
      </c>
      <c r="L12" s="8" t="s">
        <v>50</v>
      </c>
      <c r="M12" s="8"/>
    </row>
    <row r="13" spans="1:15" x14ac:dyDescent="0.25">
      <c r="A13" s="2">
        <v>12</v>
      </c>
      <c r="B13" s="2" t="s">
        <v>29</v>
      </c>
      <c r="C13" s="2" t="s">
        <v>9</v>
      </c>
      <c r="D13" s="2" t="s">
        <v>14</v>
      </c>
      <c r="E13" s="2">
        <v>1800</v>
      </c>
      <c r="F13" s="2">
        <v>550</v>
      </c>
      <c r="G13" s="2" t="s">
        <v>11</v>
      </c>
      <c r="H13" s="2">
        <v>80</v>
      </c>
      <c r="I13" s="2"/>
      <c r="L13" s="2" t="s">
        <v>11</v>
      </c>
      <c r="M13" s="2" t="s">
        <v>15</v>
      </c>
    </row>
    <row r="14" spans="1:15" x14ac:dyDescent="0.25">
      <c r="A14" s="2">
        <v>13</v>
      </c>
      <c r="B14" s="2" t="s">
        <v>30</v>
      </c>
      <c r="C14" s="2" t="s">
        <v>21</v>
      </c>
      <c r="D14" s="2" t="s">
        <v>10</v>
      </c>
      <c r="E14" s="2">
        <v>400</v>
      </c>
      <c r="F14" s="2">
        <v>90</v>
      </c>
      <c r="G14" s="2" t="s">
        <v>15</v>
      </c>
      <c r="H14" s="2">
        <v>50</v>
      </c>
      <c r="I14" s="2"/>
      <c r="K14" s="2" t="s">
        <v>10</v>
      </c>
      <c r="L14">
        <f>SUMIFS($E$2:$E$16,$G$2:$G$16,$L$13,$D$2:$D$16,K14)</f>
        <v>3400</v>
      </c>
      <c r="M14">
        <f>SUMIFS($E$2:$E$16,$G$2:$G$16,$M$13,$D$2:$D$16,K14)</f>
        <v>1300</v>
      </c>
    </row>
    <row r="15" spans="1:15" x14ac:dyDescent="0.25">
      <c r="A15" s="2">
        <v>14</v>
      </c>
      <c r="B15" s="2" t="s">
        <v>31</v>
      </c>
      <c r="C15" s="2" t="s">
        <v>13</v>
      </c>
      <c r="D15" s="2" t="s">
        <v>18</v>
      </c>
      <c r="E15" s="2">
        <v>1100</v>
      </c>
      <c r="F15" s="2">
        <v>330</v>
      </c>
      <c r="G15" s="2" t="s">
        <v>11</v>
      </c>
      <c r="H15" s="2">
        <v>72</v>
      </c>
      <c r="I15" s="2"/>
      <c r="K15" s="2" t="s">
        <v>14</v>
      </c>
      <c r="L15">
        <f t="shared" ref="L15:L17" si="3">SUMIFS($E$2:$E$16,$G$2:$G$16,$L$13,$D$2:$D$16,K15)</f>
        <v>1800</v>
      </c>
      <c r="M15">
        <f t="shared" ref="M15:M17" si="4">SUMIFS($E$2:$E$16,$G$2:$G$16,$M$13,$D$2:$D$16,K15)</f>
        <v>1550</v>
      </c>
    </row>
    <row r="16" spans="1:15" x14ac:dyDescent="0.25">
      <c r="A16" s="2">
        <v>15</v>
      </c>
      <c r="B16" s="2" t="s">
        <v>32</v>
      </c>
      <c r="C16" s="2" t="s">
        <v>9</v>
      </c>
      <c r="D16" s="2" t="s">
        <v>22</v>
      </c>
      <c r="E16" s="2">
        <v>950</v>
      </c>
      <c r="F16" s="2">
        <v>180</v>
      </c>
      <c r="G16" s="2" t="s">
        <v>15</v>
      </c>
      <c r="H16" s="3"/>
      <c r="I16" s="3"/>
      <c r="K16" s="2" t="s">
        <v>18</v>
      </c>
      <c r="L16">
        <f t="shared" si="3"/>
        <v>2600</v>
      </c>
      <c r="M16">
        <f t="shared" si="4"/>
        <v>1100</v>
      </c>
    </row>
    <row r="17" spans="11:13" x14ac:dyDescent="0.25">
      <c r="K17" s="2" t="s">
        <v>22</v>
      </c>
      <c r="L17">
        <f t="shared" si="3"/>
        <v>3300</v>
      </c>
      <c r="M17">
        <f t="shared" si="4"/>
        <v>1250</v>
      </c>
    </row>
  </sheetData>
  <mergeCells count="4">
    <mergeCell ref="K3:M3"/>
    <mergeCell ref="L4:N4"/>
    <mergeCell ref="K11:N11"/>
    <mergeCell ref="L12:M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54B03-B2F4-466C-AF12-C21345E4FF15}">
  <dimension ref="A1:N16"/>
  <sheetViews>
    <sheetView topLeftCell="H1" workbookViewId="0">
      <selection activeCell="M4" sqref="M4"/>
    </sheetView>
  </sheetViews>
  <sheetFormatPr defaultRowHeight="15" x14ac:dyDescent="0.25"/>
  <cols>
    <col min="1" max="1" width="2.85546875" bestFit="1" customWidth="1"/>
    <col min="2" max="2" width="14.42578125" bestFit="1" customWidth="1"/>
    <col min="3" max="3" width="6.5703125" bestFit="1" customWidth="1"/>
    <col min="4" max="4" width="11" bestFit="1" customWidth="1"/>
    <col min="5" max="6" width="5.42578125" bestFit="1" customWidth="1"/>
    <col min="7" max="7" width="9.42578125" bestFit="1" customWidth="1"/>
    <col min="8" max="8" width="5.85546875" bestFit="1" customWidth="1"/>
    <col min="10" max="10" width="27.42578125" customWidth="1"/>
    <col min="12" max="12" width="13.42578125" customWidth="1"/>
    <col min="13" max="13" width="11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4" x14ac:dyDescent="0.25">
      <c r="A2" s="2">
        <v>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 t="s">
        <v>11</v>
      </c>
      <c r="H2" s="2">
        <v>85</v>
      </c>
    </row>
    <row r="3" spans="1:14" x14ac:dyDescent="0.25">
      <c r="A3" s="2">
        <v>2</v>
      </c>
      <c r="B3" s="2" t="s">
        <v>12</v>
      </c>
      <c r="C3" s="2" t="s">
        <v>13</v>
      </c>
      <c r="D3" s="2" t="s">
        <v>14</v>
      </c>
      <c r="E3" s="2">
        <v>800</v>
      </c>
      <c r="F3" s="2">
        <v>200</v>
      </c>
      <c r="G3" s="2" t="s">
        <v>15</v>
      </c>
      <c r="H3" s="2">
        <v>70</v>
      </c>
      <c r="J3" s="4" t="s">
        <v>60</v>
      </c>
      <c r="L3" s="8" t="s">
        <v>62</v>
      </c>
      <c r="M3" s="8"/>
      <c r="N3" s="8"/>
    </row>
    <row r="4" spans="1:14" x14ac:dyDescent="0.25">
      <c r="A4" s="2">
        <v>3</v>
      </c>
      <c r="B4" s="2" t="s">
        <v>16</v>
      </c>
      <c r="C4" s="2" t="s">
        <v>17</v>
      </c>
      <c r="D4" s="2" t="s">
        <v>18</v>
      </c>
      <c r="E4" s="2">
        <v>500</v>
      </c>
      <c r="F4" s="2">
        <v>100</v>
      </c>
      <c r="G4" s="2" t="s">
        <v>15</v>
      </c>
      <c r="H4" s="2">
        <v>45</v>
      </c>
      <c r="J4">
        <f>COUNTIFS(E2:E16,"&gt;1000")</f>
        <v>7</v>
      </c>
      <c r="L4" s="2" t="s">
        <v>10</v>
      </c>
      <c r="M4">
        <f>COUNTIF($D$2:$D$16,L4)</f>
        <v>4</v>
      </c>
    </row>
    <row r="5" spans="1:14" x14ac:dyDescent="0.25">
      <c r="A5" s="2">
        <v>4</v>
      </c>
      <c r="B5" s="2" t="s">
        <v>19</v>
      </c>
      <c r="C5" s="2" t="s">
        <v>9</v>
      </c>
      <c r="D5" s="2" t="s">
        <v>10</v>
      </c>
      <c r="E5" s="2">
        <v>2200</v>
      </c>
      <c r="F5" s="2">
        <v>700</v>
      </c>
      <c r="G5" s="2" t="s">
        <v>11</v>
      </c>
      <c r="H5" s="2">
        <v>95</v>
      </c>
      <c r="J5" s="4" t="s">
        <v>61</v>
      </c>
      <c r="L5" s="2" t="s">
        <v>14</v>
      </c>
      <c r="M5">
        <f t="shared" ref="M5:M7" si="0">COUNTIF($D$2:$D$16,L5)</f>
        <v>3</v>
      </c>
    </row>
    <row r="6" spans="1:14" x14ac:dyDescent="0.25">
      <c r="A6" s="2">
        <v>5</v>
      </c>
      <c r="B6" s="2" t="s">
        <v>20</v>
      </c>
      <c r="C6" s="2" t="s">
        <v>21</v>
      </c>
      <c r="D6" s="2" t="s">
        <v>22</v>
      </c>
      <c r="E6" s="2">
        <v>300</v>
      </c>
      <c r="F6" s="2">
        <v>50</v>
      </c>
      <c r="G6" s="2" t="s">
        <v>15</v>
      </c>
      <c r="H6" s="2">
        <v>60</v>
      </c>
      <c r="J6">
        <f>COUNTIF(H2:H15,"&gt;=50")</f>
        <v>12</v>
      </c>
      <c r="L6" s="2" t="s">
        <v>18</v>
      </c>
      <c r="M6">
        <f t="shared" si="0"/>
        <v>4</v>
      </c>
    </row>
    <row r="7" spans="1:14" x14ac:dyDescent="0.25">
      <c r="A7" s="2">
        <v>6</v>
      </c>
      <c r="B7" s="2" t="s">
        <v>23</v>
      </c>
      <c r="C7" s="2" t="s">
        <v>13</v>
      </c>
      <c r="D7" s="2" t="s">
        <v>18</v>
      </c>
      <c r="E7" s="2">
        <v>1500</v>
      </c>
      <c r="F7" s="2">
        <v>450</v>
      </c>
      <c r="G7" s="2" t="s">
        <v>11</v>
      </c>
      <c r="H7" s="2">
        <v>78</v>
      </c>
      <c r="L7" s="2" t="s">
        <v>22</v>
      </c>
      <c r="M7">
        <f t="shared" si="0"/>
        <v>4</v>
      </c>
    </row>
    <row r="8" spans="1:14" x14ac:dyDescent="0.25">
      <c r="A8" s="2">
        <v>7</v>
      </c>
      <c r="B8" s="2" t="s">
        <v>24</v>
      </c>
      <c r="C8" s="2" t="s">
        <v>17</v>
      </c>
      <c r="D8" s="2" t="s">
        <v>10</v>
      </c>
      <c r="E8" s="2">
        <v>900</v>
      </c>
      <c r="F8" s="2">
        <v>250</v>
      </c>
      <c r="G8" s="2" t="s">
        <v>15</v>
      </c>
      <c r="H8" s="2">
        <v>55</v>
      </c>
      <c r="L8" s="7" t="s">
        <v>63</v>
      </c>
      <c r="M8" s="7"/>
      <c r="N8" s="7"/>
    </row>
    <row r="9" spans="1:14" x14ac:dyDescent="0.25">
      <c r="A9" s="2">
        <v>8</v>
      </c>
      <c r="B9" s="2" t="s">
        <v>25</v>
      </c>
      <c r="C9" s="2" t="s">
        <v>21</v>
      </c>
      <c r="D9" s="2" t="s">
        <v>22</v>
      </c>
      <c r="E9" s="2">
        <v>2000</v>
      </c>
      <c r="F9" s="2">
        <v>600</v>
      </c>
      <c r="G9" s="2" t="s">
        <v>11</v>
      </c>
      <c r="H9" s="2">
        <v>88</v>
      </c>
      <c r="J9" s="4"/>
      <c r="L9" s="2" t="s">
        <v>9</v>
      </c>
      <c r="M9">
        <f>COUNTIF($C$2:$C$16,L9)</f>
        <v>5</v>
      </c>
    </row>
    <row r="10" spans="1:14" x14ac:dyDescent="0.25">
      <c r="A10" s="2">
        <v>9</v>
      </c>
      <c r="B10" s="2" t="s">
        <v>26</v>
      </c>
      <c r="C10" s="2" t="s">
        <v>9</v>
      </c>
      <c r="D10" s="2" t="s">
        <v>14</v>
      </c>
      <c r="E10" s="2">
        <v>750</v>
      </c>
      <c r="F10" s="2">
        <v>150</v>
      </c>
      <c r="G10" s="2" t="s">
        <v>15</v>
      </c>
      <c r="H10" s="2">
        <v>40</v>
      </c>
      <c r="L10" s="2" t="s">
        <v>13</v>
      </c>
      <c r="M10">
        <f t="shared" ref="M10:M12" si="1">COUNTIF($C$2:$C$16,L10)</f>
        <v>4</v>
      </c>
    </row>
    <row r="11" spans="1:14" x14ac:dyDescent="0.25">
      <c r="A11" s="2">
        <v>10</v>
      </c>
      <c r="B11" s="2" t="s">
        <v>27</v>
      </c>
      <c r="C11" s="2" t="s">
        <v>13</v>
      </c>
      <c r="D11" s="2" t="s">
        <v>22</v>
      </c>
      <c r="E11" s="2">
        <v>1300</v>
      </c>
      <c r="F11" s="2">
        <v>500</v>
      </c>
      <c r="G11" s="2" t="s">
        <v>11</v>
      </c>
      <c r="H11" s="2">
        <v>92</v>
      </c>
      <c r="L11" s="2" t="s">
        <v>17</v>
      </c>
      <c r="M11">
        <f t="shared" si="1"/>
        <v>3</v>
      </c>
    </row>
    <row r="12" spans="1:14" x14ac:dyDescent="0.25">
      <c r="A12" s="2">
        <v>11</v>
      </c>
      <c r="B12" s="2" t="s">
        <v>28</v>
      </c>
      <c r="C12" s="2" t="s">
        <v>17</v>
      </c>
      <c r="D12" s="2" t="s">
        <v>18</v>
      </c>
      <c r="E12" s="2">
        <v>600</v>
      </c>
      <c r="F12" s="2">
        <v>120</v>
      </c>
      <c r="G12" s="2" t="s">
        <v>15</v>
      </c>
      <c r="H12" s="2">
        <v>67</v>
      </c>
      <c r="L12" s="2" t="s">
        <v>21</v>
      </c>
      <c r="M12">
        <f t="shared" si="1"/>
        <v>3</v>
      </c>
    </row>
    <row r="13" spans="1:14" x14ac:dyDescent="0.25">
      <c r="A13" s="2">
        <v>12</v>
      </c>
      <c r="B13" s="2" t="s">
        <v>29</v>
      </c>
      <c r="C13" s="2" t="s">
        <v>9</v>
      </c>
      <c r="D13" s="2" t="s">
        <v>14</v>
      </c>
      <c r="E13" s="2">
        <v>1800</v>
      </c>
      <c r="F13" s="2">
        <v>550</v>
      </c>
      <c r="G13" s="2" t="s">
        <v>11</v>
      </c>
      <c r="H13" s="2">
        <v>80</v>
      </c>
    </row>
    <row r="14" spans="1:14" x14ac:dyDescent="0.25">
      <c r="A14" s="2">
        <v>13</v>
      </c>
      <c r="B14" s="2" t="s">
        <v>30</v>
      </c>
      <c r="C14" s="2" t="s">
        <v>21</v>
      </c>
      <c r="D14" s="2" t="s">
        <v>10</v>
      </c>
      <c r="E14" s="2">
        <v>400</v>
      </c>
      <c r="F14" s="2">
        <v>90</v>
      </c>
      <c r="G14" s="2" t="s">
        <v>15</v>
      </c>
      <c r="H14" s="2">
        <v>50</v>
      </c>
    </row>
    <row r="15" spans="1:14" x14ac:dyDescent="0.25">
      <c r="A15" s="2">
        <v>14</v>
      </c>
      <c r="B15" s="2" t="s">
        <v>31</v>
      </c>
      <c r="C15" s="2" t="s">
        <v>13</v>
      </c>
      <c r="D15" s="2" t="s">
        <v>18</v>
      </c>
      <c r="E15" s="2">
        <v>1100</v>
      </c>
      <c r="F15" s="2">
        <v>330</v>
      </c>
      <c r="G15" s="2" t="s">
        <v>11</v>
      </c>
      <c r="H15" s="2">
        <v>72</v>
      </c>
    </row>
    <row r="16" spans="1:14" x14ac:dyDescent="0.25">
      <c r="A16" s="2">
        <v>15</v>
      </c>
      <c r="B16" s="2" t="s">
        <v>32</v>
      </c>
      <c r="C16" s="2" t="s">
        <v>9</v>
      </c>
      <c r="D16" s="2" t="s">
        <v>22</v>
      </c>
      <c r="E16" s="2">
        <v>950</v>
      </c>
      <c r="F16" s="2">
        <v>180</v>
      </c>
      <c r="G16" s="2" t="s">
        <v>15</v>
      </c>
      <c r="H16" s="3"/>
    </row>
  </sheetData>
  <mergeCells count="2">
    <mergeCell ref="L3:N3"/>
    <mergeCell ref="L8:N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60C7C-52A8-452E-9A98-6BD8CFD1389B}">
  <dimension ref="A1:P16"/>
  <sheetViews>
    <sheetView topLeftCell="E1" workbookViewId="0">
      <selection activeCell="K17" sqref="K17"/>
    </sheetView>
  </sheetViews>
  <sheetFormatPr defaultRowHeight="15" x14ac:dyDescent="0.25"/>
  <cols>
    <col min="1" max="1" width="2.85546875" bestFit="1" customWidth="1"/>
    <col min="2" max="2" width="14.42578125" bestFit="1" customWidth="1"/>
    <col min="3" max="3" width="6.5703125" bestFit="1" customWidth="1"/>
    <col min="4" max="4" width="11" bestFit="1" customWidth="1"/>
    <col min="5" max="6" width="5.42578125" bestFit="1" customWidth="1"/>
    <col min="7" max="7" width="9.42578125" bestFit="1" customWidth="1"/>
    <col min="8" max="8" width="5.85546875" bestFit="1" customWidth="1"/>
    <col min="11" max="11" width="16.42578125" customWidth="1"/>
    <col min="13" max="13" width="12.85546875" customWidth="1"/>
    <col min="14" max="14" width="12.28515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6" x14ac:dyDescent="0.25">
      <c r="A2" s="2">
        <v>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 t="s">
        <v>11</v>
      </c>
      <c r="H2" s="2">
        <v>85</v>
      </c>
      <c r="K2" s="8" t="s">
        <v>64</v>
      </c>
      <c r="L2" s="8"/>
      <c r="M2" s="8"/>
      <c r="N2" s="8"/>
      <c r="O2" s="8"/>
    </row>
    <row r="3" spans="1:16" x14ac:dyDescent="0.25">
      <c r="A3" s="2">
        <v>2</v>
      </c>
      <c r="B3" s="2" t="s">
        <v>12</v>
      </c>
      <c r="C3" s="2" t="s">
        <v>13</v>
      </c>
      <c r="D3" s="2" t="s">
        <v>14</v>
      </c>
      <c r="E3" s="2">
        <v>800</v>
      </c>
      <c r="F3" s="2">
        <v>200</v>
      </c>
      <c r="G3" s="2" t="s">
        <v>15</v>
      </c>
      <c r="H3" s="2">
        <v>70</v>
      </c>
    </row>
    <row r="4" spans="1:16" x14ac:dyDescent="0.25">
      <c r="A4" s="2">
        <v>3</v>
      </c>
      <c r="B4" s="2" t="s">
        <v>16</v>
      </c>
      <c r="C4" s="2" t="s">
        <v>17</v>
      </c>
      <c r="D4" s="2" t="s">
        <v>18</v>
      </c>
      <c r="E4" s="2">
        <v>500</v>
      </c>
      <c r="F4" s="2">
        <v>100</v>
      </c>
      <c r="G4" s="2" t="s">
        <v>15</v>
      </c>
      <c r="H4" s="2">
        <v>45</v>
      </c>
      <c r="L4" s="2" t="s">
        <v>10</v>
      </c>
      <c r="M4" s="2" t="s">
        <v>14</v>
      </c>
      <c r="N4" s="2" t="s">
        <v>18</v>
      </c>
      <c r="O4" s="2" t="s">
        <v>22</v>
      </c>
    </row>
    <row r="5" spans="1:16" x14ac:dyDescent="0.25">
      <c r="A5" s="2">
        <v>4</v>
      </c>
      <c r="B5" s="2" t="s">
        <v>19</v>
      </c>
      <c r="C5" s="2" t="s">
        <v>9</v>
      </c>
      <c r="D5" s="2" t="s">
        <v>10</v>
      </c>
      <c r="E5" s="2">
        <v>2200</v>
      </c>
      <c r="F5" s="2">
        <v>700</v>
      </c>
      <c r="G5" s="2" t="s">
        <v>11</v>
      </c>
      <c r="H5" s="2">
        <v>95</v>
      </c>
    </row>
    <row r="6" spans="1:16" x14ac:dyDescent="0.25">
      <c r="A6" s="2">
        <v>5</v>
      </c>
      <c r="B6" s="2" t="s">
        <v>20</v>
      </c>
      <c r="C6" s="2" t="s">
        <v>21</v>
      </c>
      <c r="D6" s="2" t="s">
        <v>22</v>
      </c>
      <c r="E6" s="2">
        <v>300</v>
      </c>
      <c r="F6" s="2">
        <v>50</v>
      </c>
      <c r="G6" s="2" t="s">
        <v>15</v>
      </c>
      <c r="H6" s="2">
        <v>60</v>
      </c>
      <c r="K6" s="2" t="s">
        <v>9</v>
      </c>
      <c r="L6">
        <f>COUNTIFS($C$2:$C$16,K6,$D$2:$D$16,$L$4)</f>
        <v>2</v>
      </c>
      <c r="M6">
        <f>COUNTIFS($C$2:$C$16,K6,$D$2:$D$16,$M$4)</f>
        <v>2</v>
      </c>
      <c r="N6">
        <f>COUNTIFS($C$2:$C$16,K6,$D$2:$D$16,$N$4)</f>
        <v>0</v>
      </c>
      <c r="O6">
        <f>COUNTIFS($C$2:$C$16,K6,$D$2:$D$16,$O$4)</f>
        <v>1</v>
      </c>
    </row>
    <row r="7" spans="1:16" x14ac:dyDescent="0.25">
      <c r="A7" s="2">
        <v>6</v>
      </c>
      <c r="B7" s="2" t="s">
        <v>23</v>
      </c>
      <c r="C7" s="2" t="s">
        <v>13</v>
      </c>
      <c r="D7" s="2" t="s">
        <v>18</v>
      </c>
      <c r="E7" s="2">
        <v>1500</v>
      </c>
      <c r="F7" s="2">
        <v>450</v>
      </c>
      <c r="G7" s="2" t="s">
        <v>11</v>
      </c>
      <c r="H7" s="2">
        <v>78</v>
      </c>
      <c r="K7" s="2" t="s">
        <v>13</v>
      </c>
      <c r="L7">
        <f>COUNTIFS($C$2:$C$16,K7,$D$2:$D$16,$L$4)</f>
        <v>0</v>
      </c>
      <c r="M7">
        <f t="shared" ref="M7" si="0">COUNTIFS($C$2:$C$16,K7,$D$2:$D$16,$M$4)</f>
        <v>1</v>
      </c>
      <c r="N7">
        <f>COUNTIFS($C$2:$C$16,K7,$D$2:$D$16,$N$4)</f>
        <v>2</v>
      </c>
      <c r="O7">
        <f t="shared" ref="O7" si="1">COUNTIFS($C$2:$C$16,K7,$D$2:$D$16,$O$4)</f>
        <v>1</v>
      </c>
    </row>
    <row r="8" spans="1:16" x14ac:dyDescent="0.25">
      <c r="A8" s="2">
        <v>7</v>
      </c>
      <c r="B8" s="2" t="s">
        <v>24</v>
      </c>
      <c r="C8" s="2" t="s">
        <v>17</v>
      </c>
      <c r="D8" s="2" t="s">
        <v>10</v>
      </c>
      <c r="E8" s="2">
        <v>900</v>
      </c>
      <c r="F8" s="2">
        <v>250</v>
      </c>
      <c r="G8" s="2" t="s">
        <v>15</v>
      </c>
      <c r="H8" s="2">
        <v>55</v>
      </c>
      <c r="K8" s="2" t="s">
        <v>17</v>
      </c>
      <c r="L8">
        <f>COUNTIFS($C$2:$C$16,K8,$D$2:$D$16,$L$4)</f>
        <v>1</v>
      </c>
      <c r="M8">
        <f>COUNTIFS($C$2:$C$16,K8,$D$2:$D$16,$M$4)</f>
        <v>0</v>
      </c>
      <c r="N8">
        <f>COUNTIFS($C$2:$C$16,K8,$D$2:$D$16,$N$4)</f>
        <v>2</v>
      </c>
      <c r="O8">
        <f>COUNTIFS($C$2:$C$16,K8,$D$2:$D$16,$O$4)</f>
        <v>0</v>
      </c>
    </row>
    <row r="9" spans="1:16" x14ac:dyDescent="0.25">
      <c r="A9" s="2">
        <v>8</v>
      </c>
      <c r="B9" s="2" t="s">
        <v>25</v>
      </c>
      <c r="C9" s="2" t="s">
        <v>21</v>
      </c>
      <c r="D9" s="2" t="s">
        <v>22</v>
      </c>
      <c r="E9" s="2">
        <v>2000</v>
      </c>
      <c r="F9" s="2">
        <v>600</v>
      </c>
      <c r="G9" s="2" t="s">
        <v>11</v>
      </c>
      <c r="H9" s="2">
        <v>88</v>
      </c>
      <c r="K9" s="2" t="s">
        <v>21</v>
      </c>
      <c r="L9">
        <f>COUNTIFS($C$2:$C$16,K9,$D$2:$D$16,$L$4)</f>
        <v>1</v>
      </c>
      <c r="M9">
        <f>COUNTIFS($C$2:$C$16,K9,$D$2:$D$16,$M$4)</f>
        <v>0</v>
      </c>
      <c r="N9">
        <f>COUNTIFS($C$2:$C$16,K9,$D$2:$D$16,$N$4)</f>
        <v>0</v>
      </c>
      <c r="O9">
        <f>COUNTIFS($C$2:$C$16,K9,$D$2:$D$16,$O$4)</f>
        <v>2</v>
      </c>
    </row>
    <row r="10" spans="1:16" x14ac:dyDescent="0.25">
      <c r="A10" s="2">
        <v>9</v>
      </c>
      <c r="B10" s="2" t="s">
        <v>26</v>
      </c>
      <c r="C10" s="2" t="s">
        <v>9</v>
      </c>
      <c r="D10" s="2" t="s">
        <v>14</v>
      </c>
      <c r="E10" s="2">
        <v>750</v>
      </c>
      <c r="F10" s="2">
        <v>150</v>
      </c>
      <c r="G10" s="2" t="s">
        <v>15</v>
      </c>
      <c r="H10" s="2">
        <v>40</v>
      </c>
    </row>
    <row r="11" spans="1:16" x14ac:dyDescent="0.25">
      <c r="A11" s="2">
        <v>10</v>
      </c>
      <c r="B11" s="2" t="s">
        <v>27</v>
      </c>
      <c r="C11" s="2" t="s">
        <v>13</v>
      </c>
      <c r="D11" s="2" t="s">
        <v>22</v>
      </c>
      <c r="E11" s="2">
        <v>1300</v>
      </c>
      <c r="F11" s="2">
        <v>500</v>
      </c>
      <c r="G11" s="2" t="s">
        <v>11</v>
      </c>
      <c r="H11" s="2">
        <v>92</v>
      </c>
      <c r="K11" s="8" t="s">
        <v>65</v>
      </c>
      <c r="L11" s="8"/>
      <c r="M11" s="8"/>
      <c r="N11" s="8"/>
      <c r="O11" s="8"/>
      <c r="P11" s="8"/>
    </row>
    <row r="12" spans="1:16" x14ac:dyDescent="0.25">
      <c r="A12" s="2">
        <v>11</v>
      </c>
      <c r="B12" s="2" t="s">
        <v>28</v>
      </c>
      <c r="C12" s="2" t="s">
        <v>17</v>
      </c>
      <c r="D12" s="2" t="s">
        <v>18</v>
      </c>
      <c r="E12" s="2">
        <v>600</v>
      </c>
      <c r="F12" s="2">
        <v>120</v>
      </c>
      <c r="G12" s="2" t="s">
        <v>15</v>
      </c>
      <c r="H12" s="2">
        <v>67</v>
      </c>
      <c r="L12" s="2" t="s">
        <v>11</v>
      </c>
      <c r="M12" s="2" t="s">
        <v>15</v>
      </c>
    </row>
    <row r="13" spans="1:16" x14ac:dyDescent="0.25">
      <c r="A13" s="2">
        <v>12</v>
      </c>
      <c r="B13" s="2" t="s">
        <v>29</v>
      </c>
      <c r="C13" s="2" t="s">
        <v>9</v>
      </c>
      <c r="D13" s="2" t="s">
        <v>14</v>
      </c>
      <c r="E13" s="2">
        <v>1800</v>
      </c>
      <c r="F13" s="2">
        <v>550</v>
      </c>
      <c r="G13" s="2" t="s">
        <v>11</v>
      </c>
      <c r="H13" s="2">
        <v>80</v>
      </c>
      <c r="K13" t="s">
        <v>66</v>
      </c>
      <c r="L13">
        <f>COUNTIFS($H$2:$H$16,"&gt;=70",$G$2:$G$16,L12)</f>
        <v>7</v>
      </c>
      <c r="M13">
        <f>COUNTIFS($H$2:$H$16,"&gt;=70",$G$2:$G$16,M12)</f>
        <v>2</v>
      </c>
    </row>
    <row r="14" spans="1:16" x14ac:dyDescent="0.25">
      <c r="A14" s="2">
        <v>13</v>
      </c>
      <c r="B14" s="2" t="s">
        <v>30</v>
      </c>
      <c r="C14" s="2" t="s">
        <v>21</v>
      </c>
      <c r="D14" s="2" t="s">
        <v>10</v>
      </c>
      <c r="E14" s="2">
        <v>400</v>
      </c>
      <c r="F14" s="2">
        <v>90</v>
      </c>
      <c r="G14" s="2" t="s">
        <v>15</v>
      </c>
      <c r="H14" s="2">
        <v>50</v>
      </c>
    </row>
    <row r="15" spans="1:16" x14ac:dyDescent="0.25">
      <c r="A15" s="2">
        <v>14</v>
      </c>
      <c r="B15" s="2" t="s">
        <v>31</v>
      </c>
      <c r="C15" s="2" t="s">
        <v>13</v>
      </c>
      <c r="D15" s="2" t="s">
        <v>18</v>
      </c>
      <c r="E15" s="2">
        <v>1100</v>
      </c>
      <c r="F15" s="2">
        <v>330</v>
      </c>
      <c r="G15" s="2" t="s">
        <v>11</v>
      </c>
      <c r="H15" s="2">
        <v>72</v>
      </c>
    </row>
    <row r="16" spans="1:16" x14ac:dyDescent="0.25">
      <c r="A16" s="2">
        <v>15</v>
      </c>
      <c r="B16" s="2" t="s">
        <v>32</v>
      </c>
      <c r="C16" s="2" t="s">
        <v>9</v>
      </c>
      <c r="D16" s="2" t="s">
        <v>22</v>
      </c>
      <c r="E16" s="2">
        <v>950</v>
      </c>
      <c r="F16" s="2">
        <v>180</v>
      </c>
      <c r="G16" s="2" t="s">
        <v>15</v>
      </c>
      <c r="H16" s="2">
        <v>70</v>
      </c>
    </row>
  </sheetData>
  <mergeCells count="2">
    <mergeCell ref="K2:O2"/>
    <mergeCell ref="K11:P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B55C6-F56A-4558-B4F3-06CBAC0BEE9B}">
  <dimension ref="A1:P16"/>
  <sheetViews>
    <sheetView topLeftCell="I1" workbookViewId="0">
      <selection activeCell="N10" sqref="N10"/>
    </sheetView>
  </sheetViews>
  <sheetFormatPr defaultRowHeight="15" x14ac:dyDescent="0.25"/>
  <cols>
    <col min="1" max="1" width="2.85546875" bestFit="1" customWidth="1"/>
    <col min="2" max="2" width="14.42578125" bestFit="1" customWidth="1"/>
    <col min="3" max="3" width="6.5703125" bestFit="1" customWidth="1"/>
    <col min="4" max="4" width="11" bestFit="1" customWidth="1"/>
    <col min="5" max="6" width="5.42578125" bestFit="1" customWidth="1"/>
    <col min="7" max="7" width="9.42578125" bestFit="1" customWidth="1"/>
    <col min="8" max="8" width="5.85546875" bestFit="1" customWidth="1"/>
    <col min="10" max="10" width="12.28515625" customWidth="1"/>
    <col min="13" max="13" width="8.140625" customWidth="1"/>
    <col min="14" max="14" width="14.140625" customWidth="1"/>
    <col min="15" max="15" width="1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6" x14ac:dyDescent="0.25">
      <c r="A2" s="2">
        <v>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 t="s">
        <v>11</v>
      </c>
      <c r="H2" s="2">
        <v>85</v>
      </c>
    </row>
    <row r="3" spans="1:16" x14ac:dyDescent="0.25">
      <c r="A3" s="2">
        <v>2</v>
      </c>
      <c r="B3" s="2" t="s">
        <v>12</v>
      </c>
      <c r="C3" s="2" t="s">
        <v>13</v>
      </c>
      <c r="D3" s="2" t="s">
        <v>14</v>
      </c>
      <c r="E3" s="2">
        <v>800</v>
      </c>
      <c r="F3" s="2">
        <v>200</v>
      </c>
      <c r="G3" s="2" t="s">
        <v>15</v>
      </c>
      <c r="H3" s="2">
        <v>70</v>
      </c>
      <c r="J3" s="9" t="s">
        <v>41</v>
      </c>
      <c r="K3" s="9"/>
      <c r="L3" s="4"/>
      <c r="M3" s="4" t="s">
        <v>43</v>
      </c>
      <c r="N3" s="4" t="s">
        <v>44</v>
      </c>
      <c r="O3" s="4" t="s">
        <v>45</v>
      </c>
      <c r="P3" s="4" t="s">
        <v>46</v>
      </c>
    </row>
    <row r="4" spans="1:16" x14ac:dyDescent="0.25">
      <c r="A4" s="2">
        <v>3</v>
      </c>
      <c r="B4" s="2" t="s">
        <v>16</v>
      </c>
      <c r="C4" s="2" t="s">
        <v>17</v>
      </c>
      <c r="D4" s="2" t="s">
        <v>18</v>
      </c>
      <c r="E4" s="2">
        <v>500</v>
      </c>
      <c r="F4" s="2">
        <v>100</v>
      </c>
      <c r="G4" s="2" t="s">
        <v>15</v>
      </c>
      <c r="H4" s="2">
        <v>45</v>
      </c>
      <c r="M4">
        <f>AVERAGEIF(D2:D16,"Laptop",E2:E16)</f>
        <v>1175</v>
      </c>
      <c r="N4">
        <f>AVERAGEIF(D2:D16,"Smartphone",E2:E16)</f>
        <v>1116.6666666666667</v>
      </c>
      <c r="O4">
        <f>AVERAGEIF(D2:D16,"Headphones",E2:E16)</f>
        <v>925</v>
      </c>
      <c r="P4">
        <f>AVERAGEIF(D2:D16,"Books",E2:E16)</f>
        <v>1137.5</v>
      </c>
    </row>
    <row r="5" spans="1:16" x14ac:dyDescent="0.25">
      <c r="A5" s="2">
        <v>4</v>
      </c>
      <c r="B5" s="2" t="s">
        <v>19</v>
      </c>
      <c r="C5" s="2" t="s">
        <v>9</v>
      </c>
      <c r="D5" s="2" t="s">
        <v>10</v>
      </c>
      <c r="E5" s="2">
        <v>2200</v>
      </c>
      <c r="F5" s="2">
        <v>700</v>
      </c>
      <c r="G5" s="2" t="s">
        <v>11</v>
      </c>
      <c r="H5" s="2">
        <v>95</v>
      </c>
      <c r="J5" s="4" t="s">
        <v>42</v>
      </c>
      <c r="K5" s="4" t="s">
        <v>40</v>
      </c>
      <c r="L5" s="4"/>
    </row>
    <row r="6" spans="1:16" x14ac:dyDescent="0.25">
      <c r="A6" s="2">
        <v>5</v>
      </c>
      <c r="B6" s="2" t="s">
        <v>20</v>
      </c>
      <c r="C6" s="2" t="s">
        <v>21</v>
      </c>
      <c r="D6" s="2" t="s">
        <v>22</v>
      </c>
      <c r="E6" s="2">
        <v>300</v>
      </c>
      <c r="F6" s="2">
        <v>50</v>
      </c>
      <c r="G6" s="2" t="s">
        <v>15</v>
      </c>
      <c r="H6" s="2">
        <v>60</v>
      </c>
      <c r="J6" s="2" t="s">
        <v>10</v>
      </c>
      <c r="K6">
        <f>AVERAGEIF($D$2:$D$16,J6,$E$2:$E$16)</f>
        <v>1175</v>
      </c>
    </row>
    <row r="7" spans="1:16" x14ac:dyDescent="0.25">
      <c r="A7" s="2">
        <v>6</v>
      </c>
      <c r="B7" s="2" t="s">
        <v>23</v>
      </c>
      <c r="C7" s="2" t="s">
        <v>13</v>
      </c>
      <c r="D7" s="2" t="s">
        <v>18</v>
      </c>
      <c r="E7" s="2">
        <v>1500</v>
      </c>
      <c r="F7" s="2">
        <v>450</v>
      </c>
      <c r="G7" s="2" t="s">
        <v>11</v>
      </c>
      <c r="H7" s="2">
        <v>78</v>
      </c>
      <c r="J7" s="2" t="s">
        <v>14</v>
      </c>
      <c r="K7">
        <f t="shared" ref="K7:K9" si="0">AVERAGEIF($D$2:$D$16,J7,$E$2:$E$16)</f>
        <v>1116.6666666666667</v>
      </c>
    </row>
    <row r="8" spans="1:16" x14ac:dyDescent="0.25">
      <c r="A8" s="2">
        <v>7</v>
      </c>
      <c r="B8" s="2" t="s">
        <v>24</v>
      </c>
      <c r="C8" s="2" t="s">
        <v>17</v>
      </c>
      <c r="D8" s="2" t="s">
        <v>10</v>
      </c>
      <c r="E8" s="2">
        <v>900</v>
      </c>
      <c r="F8" s="2">
        <v>250</v>
      </c>
      <c r="G8" s="2" t="s">
        <v>15</v>
      </c>
      <c r="H8" s="2">
        <v>55</v>
      </c>
      <c r="J8" s="2" t="s">
        <v>18</v>
      </c>
      <c r="K8">
        <f t="shared" si="0"/>
        <v>925</v>
      </c>
    </row>
    <row r="9" spans="1:16" x14ac:dyDescent="0.25">
      <c r="A9" s="2">
        <v>8</v>
      </c>
      <c r="B9" s="2" t="s">
        <v>25</v>
      </c>
      <c r="C9" s="2" t="s">
        <v>21</v>
      </c>
      <c r="D9" s="2" t="s">
        <v>22</v>
      </c>
      <c r="E9" s="2">
        <v>2000</v>
      </c>
      <c r="F9" s="2">
        <v>600</v>
      </c>
      <c r="G9" s="2" t="s">
        <v>11</v>
      </c>
      <c r="H9" s="2">
        <v>88</v>
      </c>
      <c r="J9" s="2" t="s">
        <v>22</v>
      </c>
      <c r="K9">
        <f t="shared" si="0"/>
        <v>1137.5</v>
      </c>
    </row>
    <row r="10" spans="1:16" x14ac:dyDescent="0.25">
      <c r="A10" s="2">
        <v>9</v>
      </c>
      <c r="B10" s="2" t="s">
        <v>26</v>
      </c>
      <c r="C10" s="2" t="s">
        <v>9</v>
      </c>
      <c r="D10" s="2" t="s">
        <v>14</v>
      </c>
      <c r="E10" s="2">
        <v>750</v>
      </c>
      <c r="F10" s="2">
        <v>150</v>
      </c>
      <c r="G10" s="2" t="s">
        <v>15</v>
      </c>
      <c r="H10" s="2">
        <v>40</v>
      </c>
    </row>
    <row r="11" spans="1:16" x14ac:dyDescent="0.25">
      <c r="A11" s="2">
        <v>10</v>
      </c>
      <c r="B11" s="2" t="s">
        <v>27</v>
      </c>
      <c r="C11" s="2" t="s">
        <v>13</v>
      </c>
      <c r="D11" s="2" t="s">
        <v>22</v>
      </c>
      <c r="E11" s="2">
        <v>1300</v>
      </c>
      <c r="F11" s="2">
        <v>500</v>
      </c>
      <c r="G11" s="2" t="s">
        <v>11</v>
      </c>
      <c r="H11" s="2">
        <v>92</v>
      </c>
    </row>
    <row r="12" spans="1:16" x14ac:dyDescent="0.25">
      <c r="A12" s="2">
        <v>11</v>
      </c>
      <c r="B12" s="2" t="s">
        <v>28</v>
      </c>
      <c r="C12" s="2" t="s">
        <v>17</v>
      </c>
      <c r="D12" s="2" t="s">
        <v>18</v>
      </c>
      <c r="E12" s="2">
        <v>600</v>
      </c>
      <c r="F12" s="2">
        <v>120</v>
      </c>
      <c r="G12" s="2" t="s">
        <v>15</v>
      </c>
      <c r="H12" s="2">
        <v>67</v>
      </c>
    </row>
    <row r="13" spans="1:16" x14ac:dyDescent="0.25">
      <c r="A13" s="2">
        <v>12</v>
      </c>
      <c r="B13" s="2" t="s">
        <v>29</v>
      </c>
      <c r="C13" s="2" t="s">
        <v>9</v>
      </c>
      <c r="D13" s="2" t="s">
        <v>14</v>
      </c>
      <c r="E13" s="2">
        <v>1800</v>
      </c>
      <c r="F13" s="2">
        <v>550</v>
      </c>
      <c r="G13" s="2" t="s">
        <v>11</v>
      </c>
      <c r="H13" s="2">
        <v>80</v>
      </c>
    </row>
    <row r="14" spans="1:16" x14ac:dyDescent="0.25">
      <c r="A14" s="2">
        <v>13</v>
      </c>
      <c r="B14" s="2" t="s">
        <v>30</v>
      </c>
      <c r="C14" s="2" t="s">
        <v>21</v>
      </c>
      <c r="D14" s="2" t="s">
        <v>10</v>
      </c>
      <c r="E14" s="2">
        <v>400</v>
      </c>
      <c r="F14" s="2">
        <v>90</v>
      </c>
      <c r="G14" s="2" t="s">
        <v>15</v>
      </c>
      <c r="H14" s="2">
        <v>50</v>
      </c>
    </row>
    <row r="15" spans="1:16" x14ac:dyDescent="0.25">
      <c r="A15" s="2">
        <v>14</v>
      </c>
      <c r="B15" s="2" t="s">
        <v>31</v>
      </c>
      <c r="C15" s="2" t="s">
        <v>13</v>
      </c>
      <c r="D15" s="2" t="s">
        <v>18</v>
      </c>
      <c r="E15" s="2">
        <v>1100</v>
      </c>
      <c r="F15" s="2">
        <v>330</v>
      </c>
      <c r="G15" s="2" t="s">
        <v>11</v>
      </c>
      <c r="H15" s="2">
        <v>72</v>
      </c>
    </row>
    <row r="16" spans="1:16" x14ac:dyDescent="0.25">
      <c r="A16" s="2">
        <v>15</v>
      </c>
      <c r="B16" s="2" t="s">
        <v>32</v>
      </c>
      <c r="C16" s="2" t="s">
        <v>9</v>
      </c>
      <c r="D16" s="2" t="s">
        <v>22</v>
      </c>
      <c r="E16" s="2">
        <v>950</v>
      </c>
      <c r="F16" s="2">
        <v>180</v>
      </c>
      <c r="G16" s="2" t="s">
        <v>15</v>
      </c>
      <c r="H16" s="3"/>
    </row>
  </sheetData>
  <mergeCells count="1">
    <mergeCell ref="J3:K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BBB93-881D-4B58-95B2-030B582E473A}">
  <dimension ref="A1:N16"/>
  <sheetViews>
    <sheetView tabSelected="1" workbookViewId="0">
      <selection activeCell="K10" sqref="K10"/>
    </sheetView>
  </sheetViews>
  <sheetFormatPr defaultRowHeight="15" x14ac:dyDescent="0.25"/>
  <cols>
    <col min="1" max="1" width="2.85546875" bestFit="1" customWidth="1"/>
    <col min="2" max="2" width="14.42578125" bestFit="1" customWidth="1"/>
    <col min="3" max="3" width="6.5703125" bestFit="1" customWidth="1"/>
    <col min="4" max="4" width="11" bestFit="1" customWidth="1"/>
    <col min="5" max="6" width="5.42578125" bestFit="1" customWidth="1"/>
    <col min="7" max="7" width="9.42578125" bestFit="1" customWidth="1"/>
    <col min="8" max="8" width="5.85546875" bestFit="1" customWidth="1"/>
    <col min="10" max="10" width="12.5703125" customWidth="1"/>
    <col min="11" max="11" width="9.85546875" customWidth="1"/>
    <col min="12" max="12" width="10.28515625" customWidth="1"/>
    <col min="13" max="13" width="10.42578125" customWidth="1"/>
    <col min="14" max="14" width="9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4" x14ac:dyDescent="0.25">
      <c r="A2" s="2">
        <v>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 t="s">
        <v>11</v>
      </c>
      <c r="H2" s="2">
        <v>85</v>
      </c>
    </row>
    <row r="3" spans="1:14" x14ac:dyDescent="0.25">
      <c r="A3" s="2">
        <v>2</v>
      </c>
      <c r="B3" s="2" t="s">
        <v>12</v>
      </c>
      <c r="C3" s="2" t="s">
        <v>13</v>
      </c>
      <c r="D3" s="2" t="s">
        <v>14</v>
      </c>
      <c r="E3" s="2">
        <v>800</v>
      </c>
      <c r="F3" s="2">
        <v>200</v>
      </c>
      <c r="G3" s="2" t="s">
        <v>15</v>
      </c>
      <c r="H3" s="2">
        <v>70</v>
      </c>
      <c r="J3" s="9" t="s">
        <v>67</v>
      </c>
      <c r="K3" s="9"/>
      <c r="L3" s="9"/>
      <c r="M3" s="9"/>
      <c r="N3" s="9"/>
    </row>
    <row r="4" spans="1:14" x14ac:dyDescent="0.25">
      <c r="A4" s="2">
        <v>3</v>
      </c>
      <c r="B4" s="2" t="s">
        <v>16</v>
      </c>
      <c r="C4" s="2" t="s">
        <v>17</v>
      </c>
      <c r="D4" s="2" t="s">
        <v>18</v>
      </c>
      <c r="E4" s="2">
        <v>500</v>
      </c>
      <c r="F4" s="2">
        <v>100</v>
      </c>
      <c r="G4" s="2" t="s">
        <v>15</v>
      </c>
      <c r="H4" s="2">
        <v>45</v>
      </c>
    </row>
    <row r="5" spans="1:14" x14ac:dyDescent="0.25">
      <c r="A5" s="2">
        <v>4</v>
      </c>
      <c r="B5" s="2" t="s">
        <v>19</v>
      </c>
      <c r="C5" s="2" t="s">
        <v>9</v>
      </c>
      <c r="D5" s="2" t="s">
        <v>10</v>
      </c>
      <c r="E5" s="2">
        <v>2200</v>
      </c>
      <c r="F5" s="2">
        <v>700</v>
      </c>
      <c r="G5" s="2" t="s">
        <v>11</v>
      </c>
      <c r="H5" s="2">
        <v>95</v>
      </c>
      <c r="K5" s="2" t="s">
        <v>9</v>
      </c>
      <c r="L5" s="2" t="s">
        <v>13</v>
      </c>
      <c r="M5" s="2" t="s">
        <v>17</v>
      </c>
      <c r="N5" s="2" t="s">
        <v>21</v>
      </c>
    </row>
    <row r="6" spans="1:14" x14ac:dyDescent="0.25">
      <c r="A6" s="2">
        <v>5</v>
      </c>
      <c r="B6" s="2" t="s">
        <v>20</v>
      </c>
      <c r="C6" s="2" t="s">
        <v>21</v>
      </c>
      <c r="D6" s="2" t="s">
        <v>22</v>
      </c>
      <c r="E6" s="2">
        <v>300</v>
      </c>
      <c r="F6" s="2">
        <v>50</v>
      </c>
      <c r="G6" s="2" t="s">
        <v>15</v>
      </c>
      <c r="H6" s="2">
        <v>60</v>
      </c>
    </row>
    <row r="7" spans="1:14" x14ac:dyDescent="0.25">
      <c r="A7" s="2">
        <v>6</v>
      </c>
      <c r="B7" s="2" t="s">
        <v>23</v>
      </c>
      <c r="C7" s="2" t="s">
        <v>13</v>
      </c>
      <c r="D7" s="2" t="s">
        <v>18</v>
      </c>
      <c r="E7" s="2">
        <v>1500</v>
      </c>
      <c r="F7" s="2">
        <v>450</v>
      </c>
      <c r="G7" s="2" t="s">
        <v>11</v>
      </c>
      <c r="H7" s="2">
        <v>78</v>
      </c>
      <c r="J7" s="2" t="s">
        <v>10</v>
      </c>
      <c r="K7">
        <f>IFERROR(AVERAGEIFS($F$2:$F$16,$C$2:$C$16,$K$5,$D$2:$D$16,J7),"NB")</f>
        <v>500</v>
      </c>
      <c r="L7" t="str">
        <f>IFERROR(AVERAGEIFS($F$2:$F$16,$C$2:$C$16,$L$5,$D$2:$D$16,J7),"NB")</f>
        <v>NB</v>
      </c>
      <c r="M7">
        <f>IFERROR(AVERAGEIFS($F$2:$F$16,$C$2:$C$16,$M$5,$D$2:$D$16,J7),"NB")</f>
        <v>250</v>
      </c>
      <c r="N7">
        <f>IFERROR(AVERAGEIFS($F$2:$F$16,$C$2:$C$16,$N$5,$D$2:$D$16,J7),"NB")</f>
        <v>90</v>
      </c>
    </row>
    <row r="8" spans="1:14" x14ac:dyDescent="0.25">
      <c r="A8" s="2">
        <v>7</v>
      </c>
      <c r="B8" s="2" t="s">
        <v>24</v>
      </c>
      <c r="C8" s="2" t="s">
        <v>17</v>
      </c>
      <c r="D8" s="2" t="s">
        <v>10</v>
      </c>
      <c r="E8" s="2">
        <v>900</v>
      </c>
      <c r="F8" s="2">
        <v>250</v>
      </c>
      <c r="G8" s="2" t="s">
        <v>15</v>
      </c>
      <c r="H8" s="2">
        <v>55</v>
      </c>
      <c r="J8" s="2" t="s">
        <v>14</v>
      </c>
      <c r="K8">
        <f t="shared" ref="K8:K10" si="0">IFERROR(AVERAGEIFS($F$2:$F$16,$C$2:$C$16,$K$5,$D$2:$D$16,J8),"NB")</f>
        <v>350</v>
      </c>
      <c r="L8">
        <f t="shared" ref="L8:L10" si="1">IFERROR(AVERAGEIFS($F$2:$F$16,$C$2:$C$16,$L$5,$D$2:$D$16,J8),"NB")</f>
        <v>200</v>
      </c>
      <c r="M8" t="str">
        <f t="shared" ref="M8:M10" si="2">IFERROR(AVERAGEIFS($F$2:$F$16,$C$2:$C$16,$M$5,$D$2:$D$16,J8),"NB")</f>
        <v>NB</v>
      </c>
      <c r="N8" t="str">
        <f t="shared" ref="N8:N10" si="3">IFERROR(AVERAGEIFS($F$2:$F$16,$C$2:$C$16,$N$5,$D$2:$D$16,J8),"NB")</f>
        <v>NB</v>
      </c>
    </row>
    <row r="9" spans="1:14" x14ac:dyDescent="0.25">
      <c r="A9" s="2">
        <v>8</v>
      </c>
      <c r="B9" s="2" t="s">
        <v>25</v>
      </c>
      <c r="C9" s="2" t="s">
        <v>21</v>
      </c>
      <c r="D9" s="2" t="s">
        <v>22</v>
      </c>
      <c r="E9" s="2">
        <v>2000</v>
      </c>
      <c r="F9" s="2">
        <v>600</v>
      </c>
      <c r="G9" s="2" t="s">
        <v>11</v>
      </c>
      <c r="H9" s="2">
        <v>88</v>
      </c>
      <c r="J9" s="2" t="s">
        <v>18</v>
      </c>
      <c r="K9" t="str">
        <f t="shared" si="0"/>
        <v>NB</v>
      </c>
      <c r="L9">
        <f t="shared" si="1"/>
        <v>390</v>
      </c>
      <c r="M9">
        <f t="shared" si="2"/>
        <v>110</v>
      </c>
      <c r="N9" t="str">
        <f t="shared" si="3"/>
        <v>NB</v>
      </c>
    </row>
    <row r="10" spans="1:14" x14ac:dyDescent="0.25">
      <c r="A10" s="2">
        <v>9</v>
      </c>
      <c r="B10" s="2" t="s">
        <v>26</v>
      </c>
      <c r="C10" s="2" t="s">
        <v>9</v>
      </c>
      <c r="D10" s="2" t="s">
        <v>14</v>
      </c>
      <c r="E10" s="2">
        <v>750</v>
      </c>
      <c r="F10" s="2">
        <v>150</v>
      </c>
      <c r="G10" s="2" t="s">
        <v>15</v>
      </c>
      <c r="H10" s="2">
        <v>40</v>
      </c>
      <c r="J10" s="2" t="s">
        <v>22</v>
      </c>
      <c r="K10">
        <f t="shared" si="0"/>
        <v>180</v>
      </c>
      <c r="L10">
        <f t="shared" si="1"/>
        <v>500</v>
      </c>
      <c r="M10" t="str">
        <f t="shared" si="2"/>
        <v>NB</v>
      </c>
      <c r="N10">
        <f t="shared" si="3"/>
        <v>325</v>
      </c>
    </row>
    <row r="11" spans="1:14" x14ac:dyDescent="0.25">
      <c r="A11" s="2">
        <v>10</v>
      </c>
      <c r="B11" s="2" t="s">
        <v>27</v>
      </c>
      <c r="C11" s="2" t="s">
        <v>13</v>
      </c>
      <c r="D11" s="2" t="s">
        <v>22</v>
      </c>
      <c r="E11" s="2">
        <v>1300</v>
      </c>
      <c r="F11" s="2">
        <v>500</v>
      </c>
      <c r="G11" s="2" t="s">
        <v>11</v>
      </c>
      <c r="H11" s="2">
        <v>92</v>
      </c>
    </row>
    <row r="12" spans="1:14" x14ac:dyDescent="0.25">
      <c r="A12" s="2">
        <v>11</v>
      </c>
      <c r="B12" s="2" t="s">
        <v>28</v>
      </c>
      <c r="C12" s="2" t="s">
        <v>17</v>
      </c>
      <c r="D12" s="2" t="s">
        <v>18</v>
      </c>
      <c r="E12" s="2">
        <v>600</v>
      </c>
      <c r="F12" s="2">
        <v>120</v>
      </c>
      <c r="G12" s="2" t="s">
        <v>15</v>
      </c>
      <c r="H12" s="2">
        <v>67</v>
      </c>
    </row>
    <row r="13" spans="1:14" x14ac:dyDescent="0.25">
      <c r="A13" s="2">
        <v>12</v>
      </c>
      <c r="B13" s="2" t="s">
        <v>29</v>
      </c>
      <c r="C13" s="2" t="s">
        <v>9</v>
      </c>
      <c r="D13" s="2" t="s">
        <v>14</v>
      </c>
      <c r="E13" s="2">
        <v>1800</v>
      </c>
      <c r="F13" s="2">
        <v>550</v>
      </c>
      <c r="G13" s="2" t="s">
        <v>11</v>
      </c>
      <c r="H13" s="2">
        <v>80</v>
      </c>
    </row>
    <row r="14" spans="1:14" x14ac:dyDescent="0.25">
      <c r="A14" s="2">
        <v>13</v>
      </c>
      <c r="B14" s="2" t="s">
        <v>30</v>
      </c>
      <c r="C14" s="2" t="s">
        <v>21</v>
      </c>
      <c r="D14" s="2" t="s">
        <v>10</v>
      </c>
      <c r="E14" s="2">
        <v>400</v>
      </c>
      <c r="F14" s="2">
        <v>90</v>
      </c>
      <c r="G14" s="2" t="s">
        <v>15</v>
      </c>
      <c r="H14" s="2">
        <v>50</v>
      </c>
    </row>
    <row r="15" spans="1:14" x14ac:dyDescent="0.25">
      <c r="A15" s="2">
        <v>14</v>
      </c>
      <c r="B15" s="2" t="s">
        <v>31</v>
      </c>
      <c r="C15" s="2" t="s">
        <v>13</v>
      </c>
      <c r="D15" s="2" t="s">
        <v>18</v>
      </c>
      <c r="E15" s="2">
        <v>1100</v>
      </c>
      <c r="F15" s="2">
        <v>330</v>
      </c>
      <c r="G15" s="2" t="s">
        <v>11</v>
      </c>
      <c r="H15" s="2">
        <v>72</v>
      </c>
    </row>
    <row r="16" spans="1:14" x14ac:dyDescent="0.25">
      <c r="A16" s="2">
        <v>15</v>
      </c>
      <c r="B16" s="2" t="s">
        <v>32</v>
      </c>
      <c r="C16" s="2" t="s">
        <v>9</v>
      </c>
      <c r="D16" s="2" t="s">
        <v>22</v>
      </c>
      <c r="E16" s="2">
        <v>950</v>
      </c>
      <c r="F16" s="2">
        <v>180</v>
      </c>
      <c r="G16" s="2" t="s">
        <v>15</v>
      </c>
      <c r="H16" s="3"/>
    </row>
  </sheetData>
  <mergeCells count="1">
    <mergeCell ref="J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IF</vt:lpstr>
      <vt:lpstr>AND</vt:lpstr>
      <vt:lpstr>OR</vt:lpstr>
      <vt:lpstr>IFS</vt:lpstr>
      <vt:lpstr>SUMIF</vt:lpstr>
      <vt:lpstr>SUMIFS</vt:lpstr>
      <vt:lpstr>COUNTIF</vt:lpstr>
      <vt:lpstr>COUNTIFS</vt:lpstr>
      <vt:lpstr>AVERAGEIF</vt:lpstr>
      <vt:lpstr>AVERAGEIFS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Mati</dc:creator>
  <cp:lastModifiedBy>len</cp:lastModifiedBy>
  <dcterms:created xsi:type="dcterms:W3CDTF">2025-10-21T06:48:58Z</dcterms:created>
  <dcterms:modified xsi:type="dcterms:W3CDTF">2025-10-27T11:15:47Z</dcterms:modified>
</cp:coreProperties>
</file>