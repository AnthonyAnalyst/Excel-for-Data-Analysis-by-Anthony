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en\Desktop\OLARA ANTHONY ANALYSIS\excel for data analytics\assigment\"/>
    </mc:Choice>
  </mc:AlternateContent>
  <xr:revisionPtr revIDLastSave="0" documentId="13_ncr:1_{9676A654-943C-40FF-8396-3CEDDB92D540}" xr6:coauthVersionLast="47" xr6:coauthVersionMax="47" xr10:uidLastSave="{00000000-0000-0000-0000-000000000000}"/>
  <bookViews>
    <workbookView xWindow="-120" yWindow="-120" windowWidth="20730" windowHeight="11160" firstSheet="2" activeTab="4" xr2:uid="{00000000-000D-0000-FFFF-FFFF00000000}"/>
  </bookViews>
  <sheets>
    <sheet name="AVERAGEIF,AVERAGE AND TRIM" sheetId="1" r:id="rId1"/>
    <sheet name="COUNTA ,COUNT AND COUNTBLANK" sheetId="2" r:id="rId2"/>
    <sheet name="MAX,MIN,INDEX AND MATCH" sheetId="3" r:id="rId3"/>
    <sheet name="LEN AND TRIM" sheetId="4" r:id="rId4"/>
    <sheet name="IF AND COUNTIF" sheetId="5" r:id="rId5"/>
    <sheet name="Summary" sheetId="6" r:id="rId6"/>
  </sheets>
  <definedNames>
    <definedName name="_xlnm._FilterDatabase" localSheetId="0" hidden="1">'AVERAGEIF,AVERAGE AND TRIM'!$N$1:$Q$26</definedName>
    <definedName name="_xlnm._FilterDatabase" localSheetId="4" hidden="1">'IF AND COUNTIF'!$A$1:$L$26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3" l="1"/>
  <c r="O7" i="1"/>
  <c r="O6" i="1"/>
  <c r="P7" i="3"/>
  <c r="Q6" i="5"/>
  <c r="Q5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" i="5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" i="1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" i="4"/>
  <c r="P5" i="3"/>
  <c r="P4" i="3"/>
  <c r="O6" i="2"/>
  <c r="O4" i="2"/>
  <c r="O5" i="2"/>
  <c r="O3" i="1"/>
  <c r="O4" i="1"/>
  <c r="O13" i="1" l="1"/>
  <c r="O11" i="1"/>
  <c r="O12" i="1"/>
</calcChain>
</file>

<file path=xl/sharedStrings.xml><?xml version="1.0" encoding="utf-8"?>
<sst xmlns="http://schemas.openxmlformats.org/spreadsheetml/2006/main" count="1153" uniqueCount="135">
  <si>
    <t>Order Date</t>
  </si>
  <si>
    <t>Order ID</t>
  </si>
  <si>
    <t>Customer Name</t>
  </si>
  <si>
    <t>Region</t>
  </si>
  <si>
    <t>Category</t>
  </si>
  <si>
    <t>Sub-Category</t>
  </si>
  <si>
    <t>Product</t>
  </si>
  <si>
    <t>Quantity</t>
  </si>
  <si>
    <t>Unit Price</t>
  </si>
  <si>
    <t>Sales</t>
  </si>
  <si>
    <t>Target</t>
  </si>
  <si>
    <t>Order Status</t>
  </si>
  <si>
    <t>ORD-001</t>
  </si>
  <si>
    <t>Alice Kim</t>
  </si>
  <si>
    <t>East</t>
  </si>
  <si>
    <t>Furniture</t>
  </si>
  <si>
    <t>Chairs</t>
  </si>
  <si>
    <t>Office Chair</t>
  </si>
  <si>
    <t>Delivered</t>
  </si>
  <si>
    <t>ORD-002</t>
  </si>
  <si>
    <t>Brian Otieno</t>
  </si>
  <si>
    <t>West</t>
  </si>
  <si>
    <t>Technology</t>
  </si>
  <si>
    <t>Phones</t>
  </si>
  <si>
    <t>Android Phone</t>
  </si>
  <si>
    <t>ORD-003</t>
  </si>
  <si>
    <t>Carol Wambui</t>
  </si>
  <si>
    <t>South</t>
  </si>
  <si>
    <t>Office Supplies</t>
  </si>
  <si>
    <t>Paper</t>
  </si>
  <si>
    <t>A4 Paper Pack</t>
  </si>
  <si>
    <t>Pending</t>
  </si>
  <si>
    <t>ORD-004</t>
  </si>
  <si>
    <t>David Mwangi</t>
  </si>
  <si>
    <t>North</t>
  </si>
  <si>
    <t>Tables</t>
  </si>
  <si>
    <t>Conference Table</t>
  </si>
  <si>
    <t>ORD-005</t>
  </si>
  <si>
    <t>Esther Achieng</t>
  </si>
  <si>
    <t>Laptops</t>
  </si>
  <si>
    <t>Business Laptop</t>
  </si>
  <si>
    <t>ORD-006</t>
  </si>
  <si>
    <t>Felix Kariuki</t>
  </si>
  <si>
    <t>ORD-007</t>
  </si>
  <si>
    <t>Grace Mutua</t>
  </si>
  <si>
    <t>Pens</t>
  </si>
  <si>
    <t>Blue Pens Set</t>
  </si>
  <si>
    <t>ORD-008</t>
  </si>
  <si>
    <t>Henry Mworia</t>
  </si>
  <si>
    <t>Bookcases</t>
  </si>
  <si>
    <t>Wooden Shelf</t>
  </si>
  <si>
    <t>ORD-009</t>
  </si>
  <si>
    <t>Irene Njeri</t>
  </si>
  <si>
    <t>Accessories</t>
  </si>
  <si>
    <t>USB Cable</t>
  </si>
  <si>
    <t>ORD-010</t>
  </si>
  <si>
    <t>James Kipkoech</t>
  </si>
  <si>
    <t>ORD-011</t>
  </si>
  <si>
    <t>Karen Aoko</t>
  </si>
  <si>
    <t>Dining Table</t>
  </si>
  <si>
    <t>ORD-012</t>
  </si>
  <si>
    <t>Leon Ong’era</t>
  </si>
  <si>
    <t>ORD-013</t>
  </si>
  <si>
    <t>Mary Njenga</t>
  </si>
  <si>
    <t>Leather Chair</t>
  </si>
  <si>
    <t>ORD-014</t>
  </si>
  <si>
    <t>Nick Ochieng</t>
  </si>
  <si>
    <t>Bluetooth Mouse</t>
  </si>
  <si>
    <t>ORD-015</t>
  </si>
  <si>
    <t>Olivia Wekesa</t>
  </si>
  <si>
    <t>Coffee Table</t>
  </si>
  <si>
    <t>ORD-016</t>
  </si>
  <si>
    <t>Peter Kamau</t>
  </si>
  <si>
    <t>A3 Paper Pack</t>
  </si>
  <si>
    <t>ORD-017</t>
  </si>
  <si>
    <t>Queen Naliaka</t>
  </si>
  <si>
    <t>ORD-018</t>
  </si>
  <si>
    <t>Robert Kimani</t>
  </si>
  <si>
    <t>Envelopes</t>
  </si>
  <si>
    <t>Brown Envelopes</t>
  </si>
  <si>
    <t>ORD-019</t>
  </si>
  <si>
    <t>Sarah Njoki</t>
  </si>
  <si>
    <t>Metal Shelf</t>
  </si>
  <si>
    <t>ORD-020</t>
  </si>
  <si>
    <t>Tony Mburu</t>
  </si>
  <si>
    <t>Flash Drive</t>
  </si>
  <si>
    <t>ORD-021</t>
  </si>
  <si>
    <t>Ursula Waweru</t>
  </si>
  <si>
    <t>Plastic Chair</t>
  </si>
  <si>
    <t>ORD-022</t>
  </si>
  <si>
    <t>Victor Ouma</t>
  </si>
  <si>
    <t>ORD-023</t>
  </si>
  <si>
    <t>Winnie Atieno</t>
  </si>
  <si>
    <t>Binders</t>
  </si>
  <si>
    <t>Plastic Binder</t>
  </si>
  <si>
    <t>ORD-024</t>
  </si>
  <si>
    <t>Xavier Kilonzo</t>
  </si>
  <si>
    <t>Study Desk</t>
  </si>
  <si>
    <t>ORD-025</t>
  </si>
  <si>
    <t>Yvonne Otieno</t>
  </si>
  <si>
    <t>Gaming Laptop</t>
  </si>
  <si>
    <t>TOTAL SELES</t>
  </si>
  <si>
    <t>TOTAL QUANTITY</t>
  </si>
  <si>
    <t>AVERAGE UNIT PRICE</t>
  </si>
  <si>
    <t>AVERAGE SALES PER ORDER</t>
  </si>
  <si>
    <t>WHICH CATEGORY GENERATES THE HIGHEST AVERAGE SELES</t>
  </si>
  <si>
    <t>FURNITURE</t>
  </si>
  <si>
    <t>TECHNOLOGY</t>
  </si>
  <si>
    <t>OFFICE SUPPLIES</t>
  </si>
  <si>
    <t>TOTAL ORDER RECORDED</t>
  </si>
  <si>
    <t>TOTAL ORDER MISSING</t>
  </si>
  <si>
    <t>NUMBER OF NON-EMPTY CUSTOMER NAME</t>
  </si>
  <si>
    <t>MINIMUM SALE VALUE</t>
  </si>
  <si>
    <t>MAXIMUM SALE VELUE</t>
  </si>
  <si>
    <t>LENTHG OF COSTOMER NAME</t>
  </si>
  <si>
    <t>CLEAN LENTHG OF COSTOMER NAME</t>
  </si>
  <si>
    <t xml:space="preserve">Alice Kim  </t>
  </si>
  <si>
    <t xml:space="preserve">Brian Otieno              </t>
  </si>
  <si>
    <t xml:space="preserve">Tony Mburu                                       </t>
  </si>
  <si>
    <t xml:space="preserve">Xavier Kilonzo                    </t>
  </si>
  <si>
    <t>PERFORMANCE STATUS</t>
  </si>
  <si>
    <t>CLAEN CATEGORY</t>
  </si>
  <si>
    <t>NUMBER OF TERGET MET</t>
  </si>
  <si>
    <t>NUMBER OF TERGET BELOW</t>
  </si>
  <si>
    <t>TOTAL SALE</t>
  </si>
  <si>
    <t>AVERAGE</t>
  </si>
  <si>
    <t>HIGHEST SALE</t>
  </si>
  <si>
    <t>LOWEST SALE</t>
  </si>
  <si>
    <t>MISSING VALUES</t>
  </si>
  <si>
    <t>TARGET ACHIEVEMENT SUMMARY</t>
  </si>
  <si>
    <t>LOWEST SALE PRODUCT</t>
  </si>
  <si>
    <t>HIGHEST SALE PRODUCT</t>
  </si>
  <si>
    <t>BUSSINESS LAPTOP</t>
  </si>
  <si>
    <t>USB CABLE</t>
  </si>
  <si>
    <t xml:space="preserve">Based on the target achievement, the company has not performed well. Only two employees met their targets, while twenty-three fell below the expected performance level.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</si>
</sst>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"/>
  <sheetViews>
    <sheetView topLeftCell="D1" zoomScale="95" zoomScaleNormal="95" workbookViewId="0">
      <selection activeCell="O7" sqref="O7"/>
    </sheetView>
  </sheetViews>
  <sheetFormatPr defaultRowHeight="15" x14ac:dyDescent="0.25"/>
  <cols>
    <col min="1" max="1" width="10.7109375" bestFit="1" customWidth="1"/>
    <col min="2" max="2" width="8.5703125" bestFit="1" customWidth="1"/>
    <col min="3" max="3" width="15.42578125" bestFit="1" customWidth="1"/>
    <col min="4" max="4" width="7.140625" bestFit="1" customWidth="1"/>
    <col min="5" max="5" width="14.5703125" bestFit="1" customWidth="1"/>
    <col min="6" max="6" width="12.85546875" bestFit="1" customWidth="1"/>
    <col min="7" max="7" width="16.7109375" bestFit="1" customWidth="1"/>
    <col min="8" max="8" width="8.7109375" bestFit="1" customWidth="1"/>
    <col min="9" max="9" width="9.7109375" bestFit="1" customWidth="1"/>
    <col min="10" max="10" width="5.5703125" bestFit="1" customWidth="1"/>
    <col min="11" max="11" width="6.5703125" bestFit="1" customWidth="1"/>
    <col min="12" max="12" width="12" bestFit="1" customWidth="1"/>
    <col min="14" max="14" width="25.5703125" bestFit="1" customWidth="1"/>
    <col min="15" max="15" width="12" bestFit="1" customWidth="1"/>
    <col min="16" max="16" width="22.5703125" customWidth="1"/>
    <col min="17" max="17" width="16.855468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Q1" s="4" t="s">
        <v>121</v>
      </c>
    </row>
    <row r="2" spans="1:17" x14ac:dyDescent="0.25">
      <c r="A2" s="2">
        <v>45659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>
        <v>2</v>
      </c>
      <c r="I2" s="3">
        <v>120</v>
      </c>
      <c r="J2" s="3">
        <v>240</v>
      </c>
      <c r="K2" s="3">
        <v>300</v>
      </c>
      <c r="L2" s="3" t="s">
        <v>18</v>
      </c>
      <c r="Q2" t="str">
        <f t="shared" ref="Q2:Q26" si="0">TRIM(E2)</f>
        <v>Furniture</v>
      </c>
    </row>
    <row r="3" spans="1:17" x14ac:dyDescent="0.25">
      <c r="A3" s="2">
        <v>45660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>
        <v>3</v>
      </c>
      <c r="I3" s="3">
        <v>220</v>
      </c>
      <c r="J3" s="3">
        <v>660</v>
      </c>
      <c r="K3" s="3">
        <v>700</v>
      </c>
      <c r="L3" s="3" t="s">
        <v>18</v>
      </c>
      <c r="N3" t="s">
        <v>101</v>
      </c>
      <c r="O3">
        <f>SUM(J2:J26)</f>
        <v>9705</v>
      </c>
      <c r="Q3" t="str">
        <f t="shared" si="0"/>
        <v>Technology</v>
      </c>
    </row>
    <row r="4" spans="1:17" x14ac:dyDescent="0.25">
      <c r="A4" s="2">
        <v>45661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>
        <v>5</v>
      </c>
      <c r="I4" s="3">
        <v>25</v>
      </c>
      <c r="J4" s="3">
        <v>125</v>
      </c>
      <c r="K4" s="3">
        <v>200</v>
      </c>
      <c r="L4" s="3" t="s">
        <v>31</v>
      </c>
      <c r="N4" t="s">
        <v>102</v>
      </c>
      <c r="O4">
        <f>SUM(H2:H26)</f>
        <v>68</v>
      </c>
      <c r="Q4" t="str">
        <f t="shared" si="0"/>
        <v>Office Supplies</v>
      </c>
    </row>
    <row r="5" spans="1:17" x14ac:dyDescent="0.25">
      <c r="A5" s="2">
        <v>45662</v>
      </c>
      <c r="B5" s="3" t="s">
        <v>32</v>
      </c>
      <c r="C5" s="3" t="s">
        <v>33</v>
      </c>
      <c r="D5" s="3" t="s">
        <v>34</v>
      </c>
      <c r="E5" s="3" t="s">
        <v>15</v>
      </c>
      <c r="F5" s="3" t="s">
        <v>35</v>
      </c>
      <c r="G5" s="3" t="s">
        <v>36</v>
      </c>
      <c r="H5" s="3">
        <v>1</v>
      </c>
      <c r="I5" s="3">
        <v>450</v>
      </c>
      <c r="J5" s="3">
        <v>450</v>
      </c>
      <c r="K5" s="3">
        <v>500</v>
      </c>
      <c r="L5" s="3" t="s">
        <v>18</v>
      </c>
      <c r="Q5" t="str">
        <f t="shared" si="0"/>
        <v>Furniture</v>
      </c>
    </row>
    <row r="6" spans="1:17" x14ac:dyDescent="0.25">
      <c r="A6" s="2">
        <v>45663</v>
      </c>
      <c r="B6" s="3" t="s">
        <v>37</v>
      </c>
      <c r="C6" s="3" t="s">
        <v>38</v>
      </c>
      <c r="D6" s="3" t="s">
        <v>14</v>
      </c>
      <c r="E6" s="3" t="s">
        <v>22</v>
      </c>
      <c r="F6" s="3" t="s">
        <v>39</v>
      </c>
      <c r="G6" s="3" t="s">
        <v>40</v>
      </c>
      <c r="H6" s="3">
        <v>2</v>
      </c>
      <c r="I6" s="3">
        <v>650</v>
      </c>
      <c r="J6" s="3">
        <v>1300</v>
      </c>
      <c r="K6" s="3">
        <v>1400</v>
      </c>
      <c r="L6" s="3" t="s">
        <v>18</v>
      </c>
      <c r="N6" t="s">
        <v>103</v>
      </c>
      <c r="O6">
        <f>AVERAGE(I2:I26)</f>
        <v>229.8</v>
      </c>
      <c r="Q6" t="str">
        <f t="shared" si="0"/>
        <v>Technology</v>
      </c>
    </row>
    <row r="7" spans="1:17" x14ac:dyDescent="0.25">
      <c r="A7" s="2">
        <v>45664</v>
      </c>
      <c r="B7" s="3" t="s">
        <v>41</v>
      </c>
      <c r="C7" s="3" t="s">
        <v>42</v>
      </c>
      <c r="D7" s="3" t="s">
        <v>21</v>
      </c>
      <c r="E7" s="3" t="s">
        <v>15</v>
      </c>
      <c r="F7" s="3" t="s">
        <v>16</v>
      </c>
      <c r="G7" s="3" t="s">
        <v>17</v>
      </c>
      <c r="H7" s="3">
        <v>3</v>
      </c>
      <c r="I7" s="3">
        <v>115</v>
      </c>
      <c r="J7" s="3">
        <v>345</v>
      </c>
      <c r="K7" s="3">
        <v>350</v>
      </c>
      <c r="L7" s="3" t="s">
        <v>18</v>
      </c>
      <c r="N7" t="s">
        <v>104</v>
      </c>
      <c r="O7">
        <f>AVERAGE(J2:J26)</f>
        <v>510.78947368421052</v>
      </c>
      <c r="Q7" t="str">
        <f t="shared" si="0"/>
        <v>Furniture</v>
      </c>
    </row>
    <row r="8" spans="1:17" x14ac:dyDescent="0.25">
      <c r="A8" s="2">
        <v>45665</v>
      </c>
      <c r="B8" s="3" t="s">
        <v>43</v>
      </c>
      <c r="C8" s="3" t="s">
        <v>44</v>
      </c>
      <c r="D8" s="3" t="s">
        <v>27</v>
      </c>
      <c r="E8" s="3" t="s">
        <v>28</v>
      </c>
      <c r="F8" s="3" t="s">
        <v>45</v>
      </c>
      <c r="G8" s="3" t="s">
        <v>46</v>
      </c>
      <c r="H8" s="3">
        <v>8</v>
      </c>
      <c r="I8" s="3">
        <v>15</v>
      </c>
      <c r="J8" s="3">
        <v>120</v>
      </c>
      <c r="K8" s="3">
        <v>150</v>
      </c>
      <c r="L8" s="3" t="s">
        <v>18</v>
      </c>
      <c r="Q8" t="str">
        <f t="shared" si="0"/>
        <v>Office Supplies</v>
      </c>
    </row>
    <row r="9" spans="1:17" x14ac:dyDescent="0.25">
      <c r="A9" s="2">
        <v>45666</v>
      </c>
      <c r="B9" s="3" t="s">
        <v>47</v>
      </c>
      <c r="C9" s="3" t="s">
        <v>48</v>
      </c>
      <c r="D9" s="3" t="s">
        <v>14</v>
      </c>
      <c r="E9" s="3" t="s">
        <v>15</v>
      </c>
      <c r="F9" s="3" t="s">
        <v>49</v>
      </c>
      <c r="G9" s="3" t="s">
        <v>50</v>
      </c>
      <c r="H9" s="3"/>
      <c r="I9" s="3">
        <v>300</v>
      </c>
      <c r="J9" s="3"/>
      <c r="K9" s="3">
        <v>600</v>
      </c>
      <c r="L9" s="3" t="s">
        <v>31</v>
      </c>
      <c r="N9" s="5" t="s">
        <v>105</v>
      </c>
      <c r="O9" s="5"/>
      <c r="P9" s="5"/>
      <c r="Q9" t="str">
        <f t="shared" si="0"/>
        <v>Furniture</v>
      </c>
    </row>
    <row r="10" spans="1:17" x14ac:dyDescent="0.25">
      <c r="A10" s="2">
        <v>45667</v>
      </c>
      <c r="B10" s="3" t="s">
        <v>51</v>
      </c>
      <c r="C10" s="3" t="s">
        <v>52</v>
      </c>
      <c r="D10" s="3" t="s">
        <v>34</v>
      </c>
      <c r="E10" s="3" t="s">
        <v>22</v>
      </c>
      <c r="F10" s="3" t="s">
        <v>53</v>
      </c>
      <c r="G10" s="3" t="s">
        <v>54</v>
      </c>
      <c r="H10" s="3">
        <v>10</v>
      </c>
      <c r="I10" s="3">
        <v>10</v>
      </c>
      <c r="J10" s="3">
        <v>100</v>
      </c>
      <c r="K10" s="3">
        <v>150</v>
      </c>
      <c r="L10" s="3" t="s">
        <v>18</v>
      </c>
      <c r="N10" t="s">
        <v>4</v>
      </c>
      <c r="O10" t="s">
        <v>9</v>
      </c>
      <c r="Q10" t="str">
        <f t="shared" si="0"/>
        <v>Technology</v>
      </c>
    </row>
    <row r="11" spans="1:17" x14ac:dyDescent="0.25">
      <c r="A11" s="2">
        <v>45668</v>
      </c>
      <c r="B11" s="3" t="s">
        <v>55</v>
      </c>
      <c r="C11" s="3" t="s">
        <v>56</v>
      </c>
      <c r="D11" s="3" t="s">
        <v>21</v>
      </c>
      <c r="E11" s="3" t="s">
        <v>28</v>
      </c>
      <c r="F11" s="3" t="s">
        <v>29</v>
      </c>
      <c r="G11" s="3" t="s">
        <v>30</v>
      </c>
      <c r="H11" s="3"/>
      <c r="I11" s="3">
        <v>25</v>
      </c>
      <c r="J11" s="3"/>
      <c r="K11" s="3">
        <v>200</v>
      </c>
      <c r="L11" s="3" t="s">
        <v>31</v>
      </c>
      <c r="N11" t="s">
        <v>106</v>
      </c>
      <c r="O11">
        <f>AVERAGEIF(Q2:Q26,"Furniture",J2:J26)</f>
        <v>599.44444444444446</v>
      </c>
      <c r="Q11" t="str">
        <f t="shared" si="0"/>
        <v>Office Supplies</v>
      </c>
    </row>
    <row r="12" spans="1:17" x14ac:dyDescent="0.25">
      <c r="A12" s="2">
        <v>45669</v>
      </c>
      <c r="B12" s="3" t="s">
        <v>57</v>
      </c>
      <c r="C12" s="3" t="s">
        <v>58</v>
      </c>
      <c r="D12" s="3" t="s">
        <v>27</v>
      </c>
      <c r="E12" s="3" t="s">
        <v>15</v>
      </c>
      <c r="F12" s="3" t="s">
        <v>35</v>
      </c>
      <c r="G12" s="3" t="s">
        <v>59</v>
      </c>
      <c r="H12" s="3">
        <v>2</v>
      </c>
      <c r="I12" s="3">
        <v>400</v>
      </c>
      <c r="J12" s="3">
        <v>800</v>
      </c>
      <c r="K12" s="3">
        <v>750</v>
      </c>
      <c r="L12" s="3" t="s">
        <v>18</v>
      </c>
      <c r="N12" t="s">
        <v>107</v>
      </c>
      <c r="O12">
        <f>AVERAGEIF(Q2:Q26,"Technology",J2:J26)</f>
        <v>563.57142857142856</v>
      </c>
      <c r="Q12" t="str">
        <f t="shared" si="0"/>
        <v>Furniture</v>
      </c>
    </row>
    <row r="13" spans="1:17" x14ac:dyDescent="0.25">
      <c r="A13" s="2">
        <v>45670</v>
      </c>
      <c r="B13" s="3" t="s">
        <v>60</v>
      </c>
      <c r="C13" s="3" t="s">
        <v>61</v>
      </c>
      <c r="D13" s="3" t="s">
        <v>14</v>
      </c>
      <c r="E13" s="3" t="s">
        <v>22</v>
      </c>
      <c r="F13" s="3" t="s">
        <v>39</v>
      </c>
      <c r="G13" s="3" t="s">
        <v>40</v>
      </c>
      <c r="H13" s="3"/>
      <c r="I13" s="3">
        <v>650</v>
      </c>
      <c r="J13" s="3"/>
      <c r="K13" s="3">
        <v>1400</v>
      </c>
      <c r="L13" s="3" t="s">
        <v>31</v>
      </c>
      <c r="N13" t="s">
        <v>108</v>
      </c>
      <c r="O13">
        <f>AVERAGEIF(Q2:Q26,"Office Supplies",J2:J26)</f>
        <v>121.66666666666667</v>
      </c>
      <c r="Q13" t="str">
        <f t="shared" si="0"/>
        <v>Technology</v>
      </c>
    </row>
    <row r="14" spans="1:17" x14ac:dyDescent="0.25">
      <c r="A14" s="2">
        <v>45671</v>
      </c>
      <c r="B14" s="3" t="s">
        <v>62</v>
      </c>
      <c r="C14" s="3" t="s">
        <v>63</v>
      </c>
      <c r="D14" s="3" t="s">
        <v>34</v>
      </c>
      <c r="E14" s="3" t="s">
        <v>15</v>
      </c>
      <c r="F14" s="3" t="s">
        <v>16</v>
      </c>
      <c r="G14" s="3" t="s">
        <v>64</v>
      </c>
      <c r="H14" s="3">
        <v>4</v>
      </c>
      <c r="I14" s="3">
        <v>200</v>
      </c>
      <c r="J14" s="3">
        <v>800</v>
      </c>
      <c r="K14" s="3">
        <v>900</v>
      </c>
      <c r="L14" s="3" t="s">
        <v>18</v>
      </c>
      <c r="Q14" t="str">
        <f t="shared" si="0"/>
        <v>Furniture</v>
      </c>
    </row>
    <row r="15" spans="1:17" x14ac:dyDescent="0.25">
      <c r="A15" s="2">
        <v>45672</v>
      </c>
      <c r="B15" s="3" t="s">
        <v>65</v>
      </c>
      <c r="C15" s="3" t="s">
        <v>66</v>
      </c>
      <c r="D15" s="3" t="s">
        <v>27</v>
      </c>
      <c r="E15" s="3" t="s">
        <v>22</v>
      </c>
      <c r="F15" s="3" t="s">
        <v>53</v>
      </c>
      <c r="G15" s="3" t="s">
        <v>67</v>
      </c>
      <c r="H15" s="3">
        <v>5</v>
      </c>
      <c r="I15" s="3">
        <v>25</v>
      </c>
      <c r="J15" s="3">
        <v>125</v>
      </c>
      <c r="K15" s="3">
        <v>150</v>
      </c>
      <c r="L15" s="3" t="s">
        <v>18</v>
      </c>
      <c r="Q15" t="str">
        <f t="shared" si="0"/>
        <v>Technology</v>
      </c>
    </row>
    <row r="16" spans="1:17" x14ac:dyDescent="0.25">
      <c r="A16" s="2">
        <v>45673</v>
      </c>
      <c r="B16" s="3" t="s">
        <v>68</v>
      </c>
      <c r="C16" s="3" t="s">
        <v>69</v>
      </c>
      <c r="D16" s="3" t="s">
        <v>21</v>
      </c>
      <c r="E16" s="3" t="s">
        <v>15</v>
      </c>
      <c r="F16" s="3" t="s">
        <v>35</v>
      </c>
      <c r="G16" s="3" t="s">
        <v>70</v>
      </c>
      <c r="H16" s="3">
        <v>2</v>
      </c>
      <c r="I16" s="3">
        <v>300</v>
      </c>
      <c r="J16" s="3">
        <v>600</v>
      </c>
      <c r="K16" s="3">
        <v>500</v>
      </c>
      <c r="L16" s="3" t="s">
        <v>18</v>
      </c>
      <c r="Q16" t="str">
        <f t="shared" si="0"/>
        <v>Furniture</v>
      </c>
    </row>
    <row r="17" spans="1:17" x14ac:dyDescent="0.25">
      <c r="A17" s="2">
        <v>45674</v>
      </c>
      <c r="B17" s="3" t="s">
        <v>71</v>
      </c>
      <c r="C17" s="3" t="s">
        <v>72</v>
      </c>
      <c r="D17" s="3" t="s">
        <v>14</v>
      </c>
      <c r="E17" s="3" t="s">
        <v>28</v>
      </c>
      <c r="F17" s="3" t="s">
        <v>29</v>
      </c>
      <c r="G17" s="3" t="s">
        <v>73</v>
      </c>
      <c r="H17" s="3"/>
      <c r="I17" s="3">
        <v>30</v>
      </c>
      <c r="J17" s="3"/>
      <c r="K17" s="3">
        <v>250</v>
      </c>
      <c r="L17" s="3" t="s">
        <v>31</v>
      </c>
      <c r="Q17" t="str">
        <f t="shared" si="0"/>
        <v>Office Supplies</v>
      </c>
    </row>
    <row r="18" spans="1:17" x14ac:dyDescent="0.25">
      <c r="A18" s="2">
        <v>45675</v>
      </c>
      <c r="B18" s="3" t="s">
        <v>74</v>
      </c>
      <c r="C18" s="3" t="s">
        <v>75</v>
      </c>
      <c r="D18" s="3" t="s">
        <v>34</v>
      </c>
      <c r="E18" s="3" t="s">
        <v>22</v>
      </c>
      <c r="F18" s="3" t="s">
        <v>23</v>
      </c>
      <c r="G18" s="3" t="s">
        <v>24</v>
      </c>
      <c r="H18" s="3">
        <v>1</v>
      </c>
      <c r="I18" s="3">
        <v>230</v>
      </c>
      <c r="J18" s="3">
        <v>230</v>
      </c>
      <c r="K18" s="3">
        <v>250</v>
      </c>
      <c r="L18" s="3" t="s">
        <v>18</v>
      </c>
      <c r="Q18" t="str">
        <f t="shared" si="0"/>
        <v>Technology</v>
      </c>
    </row>
    <row r="19" spans="1:17" x14ac:dyDescent="0.25">
      <c r="A19" s="2">
        <v>45676</v>
      </c>
      <c r="B19" s="3" t="s">
        <v>76</v>
      </c>
      <c r="C19" s="3" t="s">
        <v>77</v>
      </c>
      <c r="D19" s="3" t="s">
        <v>27</v>
      </c>
      <c r="E19" s="3" t="s">
        <v>28</v>
      </c>
      <c r="F19" s="3" t="s">
        <v>78</v>
      </c>
      <c r="G19" s="3" t="s">
        <v>79</v>
      </c>
      <c r="H19" s="3">
        <v>6</v>
      </c>
      <c r="I19" s="3">
        <v>20</v>
      </c>
      <c r="J19" s="3">
        <v>120</v>
      </c>
      <c r="K19" s="3">
        <v>150</v>
      </c>
      <c r="L19" s="3" t="s">
        <v>18</v>
      </c>
      <c r="Q19" t="str">
        <f t="shared" si="0"/>
        <v>Office Supplies</v>
      </c>
    </row>
    <row r="20" spans="1:17" x14ac:dyDescent="0.25">
      <c r="A20" s="2">
        <v>45677</v>
      </c>
      <c r="B20" s="3" t="s">
        <v>80</v>
      </c>
      <c r="C20" s="3" t="s">
        <v>81</v>
      </c>
      <c r="D20" s="3" t="s">
        <v>14</v>
      </c>
      <c r="E20" s="3" t="s">
        <v>15</v>
      </c>
      <c r="F20" s="3" t="s">
        <v>49</v>
      </c>
      <c r="G20" s="3" t="s">
        <v>82</v>
      </c>
      <c r="H20" s="3">
        <v>3</v>
      </c>
      <c r="I20" s="3">
        <v>320</v>
      </c>
      <c r="J20" s="3">
        <v>960</v>
      </c>
      <c r="K20" s="3">
        <v>1000</v>
      </c>
      <c r="L20" s="3" t="s">
        <v>18</v>
      </c>
      <c r="Q20" t="str">
        <f t="shared" si="0"/>
        <v>Furniture</v>
      </c>
    </row>
    <row r="21" spans="1:17" x14ac:dyDescent="0.25">
      <c r="A21" s="2">
        <v>45678</v>
      </c>
      <c r="B21" s="3" t="s">
        <v>83</v>
      </c>
      <c r="C21" s="3" t="s">
        <v>84</v>
      </c>
      <c r="D21" s="3" t="s">
        <v>21</v>
      </c>
      <c r="E21" s="3" t="s">
        <v>22</v>
      </c>
      <c r="F21" s="3" t="s">
        <v>53</v>
      </c>
      <c r="G21" s="3" t="s">
        <v>85</v>
      </c>
      <c r="H21" s="3"/>
      <c r="I21" s="3">
        <v>35</v>
      </c>
      <c r="J21" s="3"/>
      <c r="K21" s="3">
        <v>175</v>
      </c>
      <c r="L21" s="3" t="s">
        <v>31</v>
      </c>
      <c r="Q21" t="str">
        <f t="shared" si="0"/>
        <v>Technology</v>
      </c>
    </row>
    <row r="22" spans="1:17" x14ac:dyDescent="0.25">
      <c r="A22" s="2">
        <v>45679</v>
      </c>
      <c r="B22" s="3" t="s">
        <v>86</v>
      </c>
      <c r="C22" s="3" t="s">
        <v>87</v>
      </c>
      <c r="D22" s="3" t="s">
        <v>27</v>
      </c>
      <c r="E22" s="3" t="s">
        <v>15</v>
      </c>
      <c r="F22" s="3" t="s">
        <v>16</v>
      </c>
      <c r="G22" s="3" t="s">
        <v>88</v>
      </c>
      <c r="H22" s="3">
        <v>5</v>
      </c>
      <c r="I22" s="3">
        <v>100</v>
      </c>
      <c r="J22" s="3">
        <v>500</v>
      </c>
      <c r="K22" s="3">
        <v>600</v>
      </c>
      <c r="L22" s="3" t="s">
        <v>18</v>
      </c>
      <c r="Q22" t="str">
        <f t="shared" si="0"/>
        <v>Furniture</v>
      </c>
    </row>
    <row r="23" spans="1:17" x14ac:dyDescent="0.25">
      <c r="A23" s="2">
        <v>45680</v>
      </c>
      <c r="B23" s="3" t="s">
        <v>89</v>
      </c>
      <c r="C23" s="3" t="s">
        <v>90</v>
      </c>
      <c r="D23" s="3" t="s">
        <v>34</v>
      </c>
      <c r="E23" s="3" t="s">
        <v>22</v>
      </c>
      <c r="F23" s="3" t="s">
        <v>23</v>
      </c>
      <c r="G23" s="3" t="s">
        <v>24</v>
      </c>
      <c r="H23" s="3">
        <v>3</v>
      </c>
      <c r="I23" s="3">
        <v>210</v>
      </c>
      <c r="J23" s="3">
        <v>630</v>
      </c>
      <c r="K23" s="3">
        <v>700</v>
      </c>
      <c r="L23" s="3" t="s">
        <v>18</v>
      </c>
      <c r="Q23" t="str">
        <f t="shared" si="0"/>
        <v>Technology</v>
      </c>
    </row>
    <row r="24" spans="1:17" x14ac:dyDescent="0.25">
      <c r="A24" s="2">
        <v>45681</v>
      </c>
      <c r="B24" s="3" t="s">
        <v>91</v>
      </c>
      <c r="C24" s="3" t="s">
        <v>92</v>
      </c>
      <c r="D24" s="3" t="s">
        <v>14</v>
      </c>
      <c r="E24" s="3" t="s">
        <v>28</v>
      </c>
      <c r="F24" s="3" t="s">
        <v>93</v>
      </c>
      <c r="G24" s="3" t="s">
        <v>94</v>
      </c>
      <c r="H24" s="3"/>
      <c r="I24" s="3">
        <v>45</v>
      </c>
      <c r="J24" s="3"/>
      <c r="K24" s="3">
        <v>250</v>
      </c>
      <c r="L24" s="3" t="s">
        <v>31</v>
      </c>
      <c r="Q24" t="str">
        <f t="shared" si="0"/>
        <v>Office Supplies</v>
      </c>
    </row>
    <row r="25" spans="1:17" x14ac:dyDescent="0.25">
      <c r="A25" s="2">
        <v>45682</v>
      </c>
      <c r="B25" s="3" t="s">
        <v>95</v>
      </c>
      <c r="C25" s="3" t="s">
        <v>96</v>
      </c>
      <c r="D25" s="3" t="s">
        <v>21</v>
      </c>
      <c r="E25" s="3" t="s">
        <v>15</v>
      </c>
      <c r="F25" s="3" t="s">
        <v>35</v>
      </c>
      <c r="G25" s="3" t="s">
        <v>97</v>
      </c>
      <c r="H25" s="3">
        <v>2</v>
      </c>
      <c r="I25" s="3">
        <v>350</v>
      </c>
      <c r="J25" s="3">
        <v>700</v>
      </c>
      <c r="K25" s="3">
        <v>800</v>
      </c>
      <c r="L25" s="3" t="s">
        <v>18</v>
      </c>
      <c r="Q25" t="str">
        <f t="shared" si="0"/>
        <v>Furniture</v>
      </c>
    </row>
    <row r="26" spans="1:17" x14ac:dyDescent="0.25">
      <c r="A26" s="2">
        <v>45683</v>
      </c>
      <c r="B26" s="3" t="s">
        <v>98</v>
      </c>
      <c r="C26" s="3" t="s">
        <v>99</v>
      </c>
      <c r="D26" s="3" t="s">
        <v>27</v>
      </c>
      <c r="E26" s="3" t="s">
        <v>22</v>
      </c>
      <c r="F26" s="3" t="s">
        <v>39</v>
      </c>
      <c r="G26" s="3" t="s">
        <v>100</v>
      </c>
      <c r="H26" s="3">
        <v>1</v>
      </c>
      <c r="I26" s="3">
        <v>900</v>
      </c>
      <c r="J26" s="3">
        <v>900</v>
      </c>
      <c r="K26" s="3">
        <v>950</v>
      </c>
      <c r="L26" s="3" t="s">
        <v>18</v>
      </c>
      <c r="Q26" t="str">
        <f t="shared" si="0"/>
        <v>Technology</v>
      </c>
    </row>
  </sheetData>
  <sortState xmlns:xlrd2="http://schemas.microsoft.com/office/spreadsheetml/2017/richdata2" ref="N11:O13">
    <sortCondition descending="1" ref="O11:O13"/>
  </sortState>
  <mergeCells count="1">
    <mergeCell ref="N9:P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E4A5C-2872-411A-A266-7FEF3C326FBF}">
  <dimension ref="A1:O26"/>
  <sheetViews>
    <sheetView topLeftCell="F1" zoomScaleNormal="100" workbookViewId="0">
      <selection activeCell="O5" sqref="O5"/>
    </sheetView>
  </sheetViews>
  <sheetFormatPr defaultRowHeight="15" x14ac:dyDescent="0.25"/>
  <cols>
    <col min="1" max="1" width="10.42578125" bestFit="1" customWidth="1"/>
    <col min="2" max="2" width="8.140625" bestFit="1" customWidth="1"/>
    <col min="3" max="3" width="14.42578125" bestFit="1" customWidth="1"/>
    <col min="4" max="4" width="6.42578125" bestFit="1" customWidth="1"/>
    <col min="5" max="5" width="13.140625" bestFit="1" customWidth="1"/>
    <col min="6" max="6" width="12" bestFit="1" customWidth="1"/>
    <col min="7" max="7" width="15.42578125" bestFit="1" customWidth="1"/>
    <col min="8" max="8" width="8.140625" bestFit="1" customWidth="1"/>
    <col min="9" max="9" width="8.85546875" bestFit="1" customWidth="1"/>
    <col min="10" max="10" width="5" bestFit="1" customWidth="1"/>
    <col min="11" max="11" width="6.140625" bestFit="1" customWidth="1"/>
    <col min="12" max="12" width="11.42578125" bestFit="1" customWidth="1"/>
    <col min="14" max="14" width="40.140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5" x14ac:dyDescent="0.25">
      <c r="A2" s="2">
        <v>45659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>
        <v>2</v>
      </c>
      <c r="I2" s="3">
        <v>120</v>
      </c>
      <c r="J2" s="3">
        <v>240</v>
      </c>
      <c r="K2" s="3">
        <v>300</v>
      </c>
      <c r="L2" s="3" t="s">
        <v>18</v>
      </c>
    </row>
    <row r="3" spans="1:15" x14ac:dyDescent="0.25">
      <c r="A3" s="2">
        <v>45660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>
        <v>3</v>
      </c>
      <c r="I3" s="3">
        <v>220</v>
      </c>
      <c r="J3" s="3">
        <v>660</v>
      </c>
      <c r="K3" s="3">
        <v>700</v>
      </c>
      <c r="L3" s="3" t="s">
        <v>18</v>
      </c>
    </row>
    <row r="4" spans="1:15" x14ac:dyDescent="0.25">
      <c r="A4" s="2">
        <v>45661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>
        <v>5</v>
      </c>
      <c r="I4" s="3">
        <v>25</v>
      </c>
      <c r="J4" s="3">
        <v>125</v>
      </c>
      <c r="K4" s="3">
        <v>200</v>
      </c>
      <c r="L4" s="3" t="s">
        <v>31</v>
      </c>
      <c r="N4" t="s">
        <v>109</v>
      </c>
      <c r="O4">
        <f>COUNTA(B2:B26)</f>
        <v>25</v>
      </c>
    </row>
    <row r="5" spans="1:15" x14ac:dyDescent="0.25">
      <c r="A5" s="2">
        <v>45662</v>
      </c>
      <c r="B5" s="3" t="s">
        <v>32</v>
      </c>
      <c r="C5" s="3" t="s">
        <v>33</v>
      </c>
      <c r="D5" s="3" t="s">
        <v>34</v>
      </c>
      <c r="E5" s="3" t="s">
        <v>15</v>
      </c>
      <c r="F5" s="3" t="s">
        <v>35</v>
      </c>
      <c r="G5" s="3" t="s">
        <v>36</v>
      </c>
      <c r="H5" s="3">
        <v>1</v>
      </c>
      <c r="I5" s="3">
        <v>450</v>
      </c>
      <c r="J5" s="3">
        <v>450</v>
      </c>
      <c r="K5" s="3">
        <v>500</v>
      </c>
      <c r="L5" s="3" t="s">
        <v>18</v>
      </c>
      <c r="N5" t="s">
        <v>110</v>
      </c>
      <c r="O5">
        <f>COUNTBLANK(H2:H26)</f>
        <v>6</v>
      </c>
    </row>
    <row r="6" spans="1:15" x14ac:dyDescent="0.25">
      <c r="A6" s="2">
        <v>45663</v>
      </c>
      <c r="B6" s="3" t="s">
        <v>37</v>
      </c>
      <c r="C6" s="3" t="s">
        <v>38</v>
      </c>
      <c r="D6" s="3" t="s">
        <v>14</v>
      </c>
      <c r="E6" s="3" t="s">
        <v>22</v>
      </c>
      <c r="F6" s="3" t="s">
        <v>39</v>
      </c>
      <c r="G6" s="3" t="s">
        <v>40</v>
      </c>
      <c r="H6" s="3">
        <v>2</v>
      </c>
      <c r="I6" s="3">
        <v>650</v>
      </c>
      <c r="J6" s="3">
        <v>1300</v>
      </c>
      <c r="K6" s="3">
        <v>1400</v>
      </c>
      <c r="L6" s="3" t="s">
        <v>18</v>
      </c>
      <c r="N6" t="s">
        <v>111</v>
      </c>
      <c r="O6">
        <f>COUNTA(C2:C26)</f>
        <v>25</v>
      </c>
    </row>
    <row r="7" spans="1:15" x14ac:dyDescent="0.25">
      <c r="A7" s="2">
        <v>45664</v>
      </c>
      <c r="B7" s="3" t="s">
        <v>41</v>
      </c>
      <c r="C7" s="3" t="s">
        <v>42</v>
      </c>
      <c r="D7" s="3" t="s">
        <v>21</v>
      </c>
      <c r="E7" s="3" t="s">
        <v>15</v>
      </c>
      <c r="F7" s="3" t="s">
        <v>16</v>
      </c>
      <c r="G7" s="3" t="s">
        <v>17</v>
      </c>
      <c r="H7" s="3">
        <v>3</v>
      </c>
      <c r="I7" s="3">
        <v>115</v>
      </c>
      <c r="J7" s="3">
        <v>345</v>
      </c>
      <c r="K7" s="3">
        <v>350</v>
      </c>
      <c r="L7" s="3" t="s">
        <v>18</v>
      </c>
    </row>
    <row r="8" spans="1:15" x14ac:dyDescent="0.25">
      <c r="A8" s="2">
        <v>45665</v>
      </c>
      <c r="B8" s="3" t="s">
        <v>43</v>
      </c>
      <c r="C8" s="3" t="s">
        <v>44</v>
      </c>
      <c r="D8" s="3" t="s">
        <v>27</v>
      </c>
      <c r="E8" s="3" t="s">
        <v>28</v>
      </c>
      <c r="F8" s="3" t="s">
        <v>45</v>
      </c>
      <c r="G8" s="3" t="s">
        <v>46</v>
      </c>
      <c r="H8" s="3">
        <v>8</v>
      </c>
      <c r="I8" s="3">
        <v>15</v>
      </c>
      <c r="J8" s="3">
        <v>120</v>
      </c>
      <c r="K8" s="3">
        <v>150</v>
      </c>
      <c r="L8" s="3" t="s">
        <v>18</v>
      </c>
    </row>
    <row r="9" spans="1:15" x14ac:dyDescent="0.25">
      <c r="A9" s="2">
        <v>45666</v>
      </c>
      <c r="B9" s="3" t="s">
        <v>47</v>
      </c>
      <c r="C9" s="3" t="s">
        <v>48</v>
      </c>
      <c r="D9" s="3" t="s">
        <v>14</v>
      </c>
      <c r="E9" s="3" t="s">
        <v>15</v>
      </c>
      <c r="F9" s="3" t="s">
        <v>49</v>
      </c>
      <c r="G9" s="3" t="s">
        <v>50</v>
      </c>
      <c r="H9" s="3"/>
      <c r="I9" s="3">
        <v>300</v>
      </c>
      <c r="J9" s="3"/>
      <c r="K9" s="3">
        <v>600</v>
      </c>
      <c r="L9" s="3" t="s">
        <v>31</v>
      </c>
    </row>
    <row r="10" spans="1:15" x14ac:dyDescent="0.25">
      <c r="A10" s="2">
        <v>45667</v>
      </c>
      <c r="B10" s="3" t="s">
        <v>51</v>
      </c>
      <c r="C10" s="3" t="s">
        <v>52</v>
      </c>
      <c r="D10" s="3" t="s">
        <v>34</v>
      </c>
      <c r="E10" s="3" t="s">
        <v>22</v>
      </c>
      <c r="F10" s="3" t="s">
        <v>53</v>
      </c>
      <c r="G10" s="3" t="s">
        <v>54</v>
      </c>
      <c r="H10" s="3">
        <v>10</v>
      </c>
      <c r="I10" s="3">
        <v>10</v>
      </c>
      <c r="J10" s="3">
        <v>100</v>
      </c>
      <c r="K10" s="3">
        <v>150</v>
      </c>
      <c r="L10" s="3" t="s">
        <v>18</v>
      </c>
    </row>
    <row r="11" spans="1:15" x14ac:dyDescent="0.25">
      <c r="A11" s="2">
        <v>45668</v>
      </c>
      <c r="B11" s="3" t="s">
        <v>55</v>
      </c>
      <c r="C11" s="3" t="s">
        <v>56</v>
      </c>
      <c r="D11" s="3" t="s">
        <v>21</v>
      </c>
      <c r="E11" s="3" t="s">
        <v>28</v>
      </c>
      <c r="F11" s="3" t="s">
        <v>29</v>
      </c>
      <c r="G11" s="3" t="s">
        <v>30</v>
      </c>
      <c r="H11" s="3"/>
      <c r="I11" s="3">
        <v>25</v>
      </c>
      <c r="J11" s="3"/>
      <c r="K11" s="3">
        <v>200</v>
      </c>
      <c r="L11" s="3" t="s">
        <v>31</v>
      </c>
    </row>
    <row r="12" spans="1:15" x14ac:dyDescent="0.25">
      <c r="A12" s="2">
        <v>45669</v>
      </c>
      <c r="B12" s="3" t="s">
        <v>57</v>
      </c>
      <c r="C12" s="3" t="s">
        <v>58</v>
      </c>
      <c r="D12" s="3" t="s">
        <v>27</v>
      </c>
      <c r="E12" s="3" t="s">
        <v>15</v>
      </c>
      <c r="F12" s="3" t="s">
        <v>35</v>
      </c>
      <c r="G12" s="3" t="s">
        <v>59</v>
      </c>
      <c r="H12" s="3">
        <v>2</v>
      </c>
      <c r="I12" s="3">
        <v>400</v>
      </c>
      <c r="J12" s="3">
        <v>800</v>
      </c>
      <c r="K12" s="3">
        <v>750</v>
      </c>
      <c r="L12" s="3" t="s">
        <v>18</v>
      </c>
    </row>
    <row r="13" spans="1:15" x14ac:dyDescent="0.25">
      <c r="A13" s="2">
        <v>45670</v>
      </c>
      <c r="B13" s="3" t="s">
        <v>60</v>
      </c>
      <c r="C13" s="3" t="s">
        <v>61</v>
      </c>
      <c r="D13" s="3" t="s">
        <v>14</v>
      </c>
      <c r="E13" s="3" t="s">
        <v>22</v>
      </c>
      <c r="F13" s="3" t="s">
        <v>39</v>
      </c>
      <c r="G13" s="3" t="s">
        <v>40</v>
      </c>
      <c r="H13" s="3"/>
      <c r="I13" s="3">
        <v>650</v>
      </c>
      <c r="J13" s="3"/>
      <c r="K13" s="3">
        <v>1400</v>
      </c>
      <c r="L13" s="3" t="s">
        <v>31</v>
      </c>
    </row>
    <row r="14" spans="1:15" x14ac:dyDescent="0.25">
      <c r="A14" s="2">
        <v>45671</v>
      </c>
      <c r="B14" s="3" t="s">
        <v>62</v>
      </c>
      <c r="C14" s="3" t="s">
        <v>63</v>
      </c>
      <c r="D14" s="3" t="s">
        <v>34</v>
      </c>
      <c r="E14" s="3" t="s">
        <v>15</v>
      </c>
      <c r="F14" s="3" t="s">
        <v>16</v>
      </c>
      <c r="G14" s="3" t="s">
        <v>64</v>
      </c>
      <c r="H14" s="3">
        <v>4</v>
      </c>
      <c r="I14" s="3">
        <v>200</v>
      </c>
      <c r="J14" s="3">
        <v>800</v>
      </c>
      <c r="K14" s="3">
        <v>900</v>
      </c>
      <c r="L14" s="3" t="s">
        <v>18</v>
      </c>
    </row>
    <row r="15" spans="1:15" x14ac:dyDescent="0.25">
      <c r="A15" s="2">
        <v>45672</v>
      </c>
      <c r="B15" s="3" t="s">
        <v>65</v>
      </c>
      <c r="C15" s="3" t="s">
        <v>66</v>
      </c>
      <c r="D15" s="3" t="s">
        <v>27</v>
      </c>
      <c r="E15" s="3" t="s">
        <v>22</v>
      </c>
      <c r="F15" s="3" t="s">
        <v>53</v>
      </c>
      <c r="G15" s="3" t="s">
        <v>67</v>
      </c>
      <c r="H15" s="3">
        <v>5</v>
      </c>
      <c r="I15" s="3">
        <v>25</v>
      </c>
      <c r="J15" s="3">
        <v>125</v>
      </c>
      <c r="K15" s="3">
        <v>150</v>
      </c>
      <c r="L15" s="3" t="s">
        <v>18</v>
      </c>
    </row>
    <row r="16" spans="1:15" x14ac:dyDescent="0.25">
      <c r="A16" s="2">
        <v>45673</v>
      </c>
      <c r="B16" s="3" t="s">
        <v>68</v>
      </c>
      <c r="C16" s="3" t="s">
        <v>69</v>
      </c>
      <c r="D16" s="3" t="s">
        <v>21</v>
      </c>
      <c r="E16" s="3" t="s">
        <v>15</v>
      </c>
      <c r="F16" s="3" t="s">
        <v>35</v>
      </c>
      <c r="G16" s="3" t="s">
        <v>70</v>
      </c>
      <c r="H16" s="3">
        <v>2</v>
      </c>
      <c r="I16" s="3">
        <v>300</v>
      </c>
      <c r="J16" s="3">
        <v>600</v>
      </c>
      <c r="K16" s="3">
        <v>500</v>
      </c>
      <c r="L16" s="3" t="s">
        <v>18</v>
      </c>
    </row>
    <row r="17" spans="1:12" x14ac:dyDescent="0.25">
      <c r="A17" s="2">
        <v>45674</v>
      </c>
      <c r="B17" s="3" t="s">
        <v>71</v>
      </c>
      <c r="C17" s="3" t="s">
        <v>72</v>
      </c>
      <c r="D17" s="3" t="s">
        <v>14</v>
      </c>
      <c r="E17" s="3" t="s">
        <v>28</v>
      </c>
      <c r="F17" s="3" t="s">
        <v>29</v>
      </c>
      <c r="G17" s="3" t="s">
        <v>73</v>
      </c>
      <c r="H17" s="3"/>
      <c r="I17" s="3">
        <v>30</v>
      </c>
      <c r="J17" s="3"/>
      <c r="K17" s="3">
        <v>250</v>
      </c>
      <c r="L17" s="3" t="s">
        <v>31</v>
      </c>
    </row>
    <row r="18" spans="1:12" x14ac:dyDescent="0.25">
      <c r="A18" s="2">
        <v>45675</v>
      </c>
      <c r="B18" s="3" t="s">
        <v>74</v>
      </c>
      <c r="C18" s="3" t="s">
        <v>75</v>
      </c>
      <c r="D18" s="3" t="s">
        <v>34</v>
      </c>
      <c r="E18" s="3" t="s">
        <v>22</v>
      </c>
      <c r="F18" s="3" t="s">
        <v>23</v>
      </c>
      <c r="G18" s="3" t="s">
        <v>24</v>
      </c>
      <c r="H18" s="3">
        <v>1</v>
      </c>
      <c r="I18" s="3">
        <v>230</v>
      </c>
      <c r="J18" s="3">
        <v>230</v>
      </c>
      <c r="K18" s="3">
        <v>250</v>
      </c>
      <c r="L18" s="3" t="s">
        <v>18</v>
      </c>
    </row>
    <row r="19" spans="1:12" x14ac:dyDescent="0.25">
      <c r="A19" s="2">
        <v>45676</v>
      </c>
      <c r="B19" s="3" t="s">
        <v>76</v>
      </c>
      <c r="C19" s="3" t="s">
        <v>77</v>
      </c>
      <c r="D19" s="3" t="s">
        <v>27</v>
      </c>
      <c r="E19" s="3" t="s">
        <v>28</v>
      </c>
      <c r="F19" s="3" t="s">
        <v>78</v>
      </c>
      <c r="G19" s="3" t="s">
        <v>79</v>
      </c>
      <c r="H19" s="3">
        <v>6</v>
      </c>
      <c r="I19" s="3">
        <v>20</v>
      </c>
      <c r="J19" s="3">
        <v>120</v>
      </c>
      <c r="K19" s="3">
        <v>150</v>
      </c>
      <c r="L19" s="3" t="s">
        <v>18</v>
      </c>
    </row>
    <row r="20" spans="1:12" x14ac:dyDescent="0.25">
      <c r="A20" s="2">
        <v>45677</v>
      </c>
      <c r="B20" s="3" t="s">
        <v>80</v>
      </c>
      <c r="C20" s="3" t="s">
        <v>81</v>
      </c>
      <c r="D20" s="3" t="s">
        <v>14</v>
      </c>
      <c r="E20" s="3" t="s">
        <v>15</v>
      </c>
      <c r="F20" s="3" t="s">
        <v>49</v>
      </c>
      <c r="G20" s="3" t="s">
        <v>82</v>
      </c>
      <c r="H20" s="3">
        <v>3</v>
      </c>
      <c r="I20" s="3">
        <v>320</v>
      </c>
      <c r="J20" s="3">
        <v>960</v>
      </c>
      <c r="K20" s="3">
        <v>1000</v>
      </c>
      <c r="L20" s="3" t="s">
        <v>18</v>
      </c>
    </row>
    <row r="21" spans="1:12" x14ac:dyDescent="0.25">
      <c r="A21" s="2">
        <v>45678</v>
      </c>
      <c r="B21" s="3" t="s">
        <v>83</v>
      </c>
      <c r="C21" s="3" t="s">
        <v>84</v>
      </c>
      <c r="D21" s="3" t="s">
        <v>21</v>
      </c>
      <c r="E21" s="3" t="s">
        <v>22</v>
      </c>
      <c r="F21" s="3" t="s">
        <v>53</v>
      </c>
      <c r="G21" s="3" t="s">
        <v>85</v>
      </c>
      <c r="H21" s="3"/>
      <c r="I21" s="3">
        <v>35</v>
      </c>
      <c r="J21" s="3"/>
      <c r="K21" s="3">
        <v>175</v>
      </c>
      <c r="L21" s="3" t="s">
        <v>31</v>
      </c>
    </row>
    <row r="22" spans="1:12" x14ac:dyDescent="0.25">
      <c r="A22" s="2">
        <v>45679</v>
      </c>
      <c r="B22" s="3" t="s">
        <v>86</v>
      </c>
      <c r="C22" s="3" t="s">
        <v>87</v>
      </c>
      <c r="D22" s="3" t="s">
        <v>27</v>
      </c>
      <c r="E22" s="3" t="s">
        <v>15</v>
      </c>
      <c r="F22" s="3" t="s">
        <v>16</v>
      </c>
      <c r="G22" s="3" t="s">
        <v>88</v>
      </c>
      <c r="H22" s="3">
        <v>5</v>
      </c>
      <c r="I22" s="3">
        <v>100</v>
      </c>
      <c r="J22" s="3">
        <v>500</v>
      </c>
      <c r="K22" s="3">
        <v>600</v>
      </c>
      <c r="L22" s="3" t="s">
        <v>18</v>
      </c>
    </row>
    <row r="23" spans="1:12" x14ac:dyDescent="0.25">
      <c r="A23" s="2">
        <v>45680</v>
      </c>
      <c r="B23" s="3" t="s">
        <v>89</v>
      </c>
      <c r="C23" s="3" t="s">
        <v>90</v>
      </c>
      <c r="D23" s="3" t="s">
        <v>34</v>
      </c>
      <c r="E23" s="3" t="s">
        <v>22</v>
      </c>
      <c r="F23" s="3" t="s">
        <v>23</v>
      </c>
      <c r="G23" s="3" t="s">
        <v>24</v>
      </c>
      <c r="H23" s="3">
        <v>3</v>
      </c>
      <c r="I23" s="3">
        <v>210</v>
      </c>
      <c r="J23" s="3">
        <v>630</v>
      </c>
      <c r="K23" s="3">
        <v>700</v>
      </c>
      <c r="L23" s="3" t="s">
        <v>18</v>
      </c>
    </row>
    <row r="24" spans="1:12" x14ac:dyDescent="0.25">
      <c r="A24" s="2">
        <v>45681</v>
      </c>
      <c r="B24" s="3" t="s">
        <v>91</v>
      </c>
      <c r="C24" s="3" t="s">
        <v>92</v>
      </c>
      <c r="D24" s="3" t="s">
        <v>14</v>
      </c>
      <c r="E24" s="3" t="s">
        <v>28</v>
      </c>
      <c r="F24" s="3" t="s">
        <v>93</v>
      </c>
      <c r="G24" s="3" t="s">
        <v>94</v>
      </c>
      <c r="H24" s="3"/>
      <c r="I24" s="3">
        <v>45</v>
      </c>
      <c r="J24" s="3"/>
      <c r="K24" s="3">
        <v>250</v>
      </c>
      <c r="L24" s="3" t="s">
        <v>31</v>
      </c>
    </row>
    <row r="25" spans="1:12" x14ac:dyDescent="0.25">
      <c r="A25" s="2">
        <v>45682</v>
      </c>
      <c r="B25" s="3" t="s">
        <v>95</v>
      </c>
      <c r="C25" s="3" t="s">
        <v>96</v>
      </c>
      <c r="D25" s="3" t="s">
        <v>21</v>
      </c>
      <c r="E25" s="3" t="s">
        <v>15</v>
      </c>
      <c r="F25" s="3" t="s">
        <v>35</v>
      </c>
      <c r="G25" s="3" t="s">
        <v>97</v>
      </c>
      <c r="H25" s="3">
        <v>2</v>
      </c>
      <c r="I25" s="3">
        <v>350</v>
      </c>
      <c r="J25" s="3">
        <v>700</v>
      </c>
      <c r="K25" s="3">
        <v>800</v>
      </c>
      <c r="L25" s="3" t="s">
        <v>18</v>
      </c>
    </row>
    <row r="26" spans="1:12" x14ac:dyDescent="0.25">
      <c r="A26" s="2">
        <v>45683</v>
      </c>
      <c r="B26" s="3" t="s">
        <v>98</v>
      </c>
      <c r="C26" s="3" t="s">
        <v>99</v>
      </c>
      <c r="D26" s="3" t="s">
        <v>27</v>
      </c>
      <c r="E26" s="3" t="s">
        <v>22</v>
      </c>
      <c r="F26" s="3" t="s">
        <v>39</v>
      </c>
      <c r="G26" s="3" t="s">
        <v>100</v>
      </c>
      <c r="H26" s="3">
        <v>1</v>
      </c>
      <c r="I26" s="3">
        <v>900</v>
      </c>
      <c r="J26" s="3">
        <v>900</v>
      </c>
      <c r="K26" s="3">
        <v>950</v>
      </c>
      <c r="L26" s="3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28F4F-9B2E-453D-8218-F864FC710AC7}">
  <dimension ref="A1:P26"/>
  <sheetViews>
    <sheetView topLeftCell="R2" workbookViewId="0">
      <selection activeCell="P8" sqref="P8"/>
    </sheetView>
  </sheetViews>
  <sheetFormatPr defaultRowHeight="15" x14ac:dyDescent="0.25"/>
  <cols>
    <col min="1" max="1" width="10.42578125" bestFit="1" customWidth="1"/>
    <col min="2" max="2" width="8.140625" bestFit="1" customWidth="1"/>
    <col min="3" max="3" width="14.42578125" bestFit="1" customWidth="1"/>
    <col min="4" max="4" width="6.42578125" bestFit="1" customWidth="1"/>
    <col min="5" max="5" width="13.140625" bestFit="1" customWidth="1"/>
    <col min="6" max="6" width="12" bestFit="1" customWidth="1"/>
    <col min="7" max="7" width="15.42578125" bestFit="1" customWidth="1"/>
    <col min="8" max="8" width="8.140625" bestFit="1" customWidth="1"/>
    <col min="9" max="9" width="8.85546875" bestFit="1" customWidth="1"/>
    <col min="10" max="10" width="5" bestFit="1" customWidth="1"/>
    <col min="11" max="11" width="6.140625" bestFit="1" customWidth="1"/>
    <col min="12" max="12" width="11.42578125" bestFit="1" customWidth="1"/>
    <col min="13" max="13" width="11.42578125" customWidth="1"/>
    <col min="15" max="15" width="22.42578125" customWidth="1"/>
    <col min="16" max="16" width="1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x14ac:dyDescent="0.25">
      <c r="A2" s="2">
        <v>45659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>
        <v>2</v>
      </c>
      <c r="I2" s="3">
        <v>120</v>
      </c>
      <c r="J2" s="3">
        <v>240</v>
      </c>
      <c r="K2" s="3">
        <v>300</v>
      </c>
      <c r="L2" s="3" t="s">
        <v>18</v>
      </c>
    </row>
    <row r="3" spans="1:16" x14ac:dyDescent="0.25">
      <c r="A3" s="2">
        <v>45660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>
        <v>3</v>
      </c>
      <c r="I3" s="3">
        <v>220</v>
      </c>
      <c r="J3" s="3">
        <v>660</v>
      </c>
      <c r="K3" s="3">
        <v>700</v>
      </c>
      <c r="L3" s="3" t="s">
        <v>18</v>
      </c>
    </row>
    <row r="4" spans="1:16" x14ac:dyDescent="0.25">
      <c r="A4" s="2">
        <v>45661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>
        <v>5</v>
      </c>
      <c r="I4" s="3">
        <v>25</v>
      </c>
      <c r="J4" s="3">
        <v>125</v>
      </c>
      <c r="K4" s="3">
        <v>200</v>
      </c>
      <c r="L4" s="3" t="s">
        <v>31</v>
      </c>
      <c r="O4" t="s">
        <v>112</v>
      </c>
      <c r="P4">
        <f>MIN(J2:J26)</f>
        <v>100</v>
      </c>
    </row>
    <row r="5" spans="1:16" x14ac:dyDescent="0.25">
      <c r="A5" s="2">
        <v>45662</v>
      </c>
      <c r="B5" s="3" t="s">
        <v>32</v>
      </c>
      <c r="C5" s="3" t="s">
        <v>33</v>
      </c>
      <c r="D5" s="3" t="s">
        <v>34</v>
      </c>
      <c r="E5" s="3" t="s">
        <v>15</v>
      </c>
      <c r="F5" s="3" t="s">
        <v>35</v>
      </c>
      <c r="G5" s="3" t="s">
        <v>36</v>
      </c>
      <c r="H5" s="3">
        <v>1</v>
      </c>
      <c r="I5" s="3">
        <v>450</v>
      </c>
      <c r="J5" s="3">
        <v>450</v>
      </c>
      <c r="K5" s="3">
        <v>500</v>
      </c>
      <c r="L5" s="3" t="s">
        <v>18</v>
      </c>
      <c r="O5" t="s">
        <v>113</v>
      </c>
      <c r="P5">
        <f>MAX(J2:J26)</f>
        <v>1300</v>
      </c>
    </row>
    <row r="6" spans="1:16" x14ac:dyDescent="0.25">
      <c r="A6" s="2">
        <v>45663</v>
      </c>
      <c r="B6" s="3" t="s">
        <v>37</v>
      </c>
      <c r="C6" s="3" t="s">
        <v>38</v>
      </c>
      <c r="D6" s="3" t="s">
        <v>14</v>
      </c>
      <c r="E6" s="3" t="s">
        <v>22</v>
      </c>
      <c r="F6" s="3" t="s">
        <v>39</v>
      </c>
      <c r="G6" s="3" t="s">
        <v>40</v>
      </c>
      <c r="H6" s="3">
        <v>2</v>
      </c>
      <c r="I6" s="3">
        <v>650</v>
      </c>
      <c r="J6" s="3">
        <v>1300</v>
      </c>
      <c r="K6" s="3">
        <v>1400</v>
      </c>
      <c r="L6" s="3" t="s">
        <v>18</v>
      </c>
    </row>
    <row r="7" spans="1:16" x14ac:dyDescent="0.25">
      <c r="A7" s="2">
        <v>45664</v>
      </c>
      <c r="B7" s="3" t="s">
        <v>41</v>
      </c>
      <c r="C7" s="3" t="s">
        <v>42</v>
      </c>
      <c r="D7" s="3" t="s">
        <v>21</v>
      </c>
      <c r="E7" s="3" t="s">
        <v>15</v>
      </c>
      <c r="F7" s="3" t="s">
        <v>16</v>
      </c>
      <c r="G7" s="3" t="s">
        <v>17</v>
      </c>
      <c r="H7" s="3">
        <v>3</v>
      </c>
      <c r="I7" s="3">
        <v>115</v>
      </c>
      <c r="J7" s="3">
        <v>345</v>
      </c>
      <c r="K7" s="3">
        <v>350</v>
      </c>
      <c r="L7" s="3" t="s">
        <v>18</v>
      </c>
      <c r="O7" t="s">
        <v>130</v>
      </c>
      <c r="P7" t="str">
        <f>INDEX(G2:G26,MATCH(MIN(J2:J26),J2:J26,0))</f>
        <v>USB Cable</v>
      </c>
    </row>
    <row r="8" spans="1:16" x14ac:dyDescent="0.25">
      <c r="A8" s="2">
        <v>45665</v>
      </c>
      <c r="B8" s="3" t="s">
        <v>43</v>
      </c>
      <c r="C8" s="3" t="s">
        <v>44</v>
      </c>
      <c r="D8" s="3" t="s">
        <v>27</v>
      </c>
      <c r="E8" s="3" t="s">
        <v>28</v>
      </c>
      <c r="F8" s="3" t="s">
        <v>45</v>
      </c>
      <c r="G8" s="3" t="s">
        <v>46</v>
      </c>
      <c r="H8" s="3">
        <v>8</v>
      </c>
      <c r="I8" s="3">
        <v>15</v>
      </c>
      <c r="J8" s="3">
        <v>120</v>
      </c>
      <c r="K8" s="3">
        <v>150</v>
      </c>
      <c r="L8" s="3" t="s">
        <v>18</v>
      </c>
      <c r="O8" t="s">
        <v>131</v>
      </c>
      <c r="P8" t="str">
        <f>INDEX(G2:G26,MATCH(MAX(J2:J8),J2:J8,0))</f>
        <v>Business Laptop</v>
      </c>
    </row>
    <row r="9" spans="1:16" x14ac:dyDescent="0.25">
      <c r="A9" s="2">
        <v>45666</v>
      </c>
      <c r="B9" s="3" t="s">
        <v>47</v>
      </c>
      <c r="C9" s="3" t="s">
        <v>48</v>
      </c>
      <c r="D9" s="3" t="s">
        <v>14</v>
      </c>
      <c r="E9" s="3" t="s">
        <v>15</v>
      </c>
      <c r="F9" s="3" t="s">
        <v>49</v>
      </c>
      <c r="G9" s="3" t="s">
        <v>50</v>
      </c>
      <c r="H9" s="3"/>
      <c r="I9" s="3">
        <v>300</v>
      </c>
      <c r="J9" s="3"/>
      <c r="K9" s="3">
        <v>600</v>
      </c>
      <c r="L9" s="3" t="s">
        <v>31</v>
      </c>
    </row>
    <row r="10" spans="1:16" x14ac:dyDescent="0.25">
      <c r="A10" s="2">
        <v>45667</v>
      </c>
      <c r="B10" s="3" t="s">
        <v>51</v>
      </c>
      <c r="C10" s="3" t="s">
        <v>52</v>
      </c>
      <c r="D10" s="3" t="s">
        <v>34</v>
      </c>
      <c r="E10" s="3" t="s">
        <v>22</v>
      </c>
      <c r="F10" s="3" t="s">
        <v>53</v>
      </c>
      <c r="G10" s="3" t="s">
        <v>54</v>
      </c>
      <c r="H10" s="3">
        <v>10</v>
      </c>
      <c r="I10" s="3">
        <v>10</v>
      </c>
      <c r="J10" s="3">
        <v>100</v>
      </c>
      <c r="K10" s="3">
        <v>150</v>
      </c>
      <c r="L10" s="3" t="s">
        <v>18</v>
      </c>
    </row>
    <row r="11" spans="1:16" x14ac:dyDescent="0.25">
      <c r="A11" s="2">
        <v>45668</v>
      </c>
      <c r="B11" s="3" t="s">
        <v>55</v>
      </c>
      <c r="C11" s="3" t="s">
        <v>56</v>
      </c>
      <c r="D11" s="3" t="s">
        <v>21</v>
      </c>
      <c r="E11" s="3" t="s">
        <v>28</v>
      </c>
      <c r="F11" s="3" t="s">
        <v>29</v>
      </c>
      <c r="G11" s="3" t="s">
        <v>30</v>
      </c>
      <c r="H11" s="3"/>
      <c r="I11" s="3">
        <v>25</v>
      </c>
      <c r="J11" s="3"/>
      <c r="K11" s="3">
        <v>200</v>
      </c>
      <c r="L11" s="3" t="s">
        <v>31</v>
      </c>
    </row>
    <row r="12" spans="1:16" x14ac:dyDescent="0.25">
      <c r="A12" s="2">
        <v>45669</v>
      </c>
      <c r="B12" s="3" t="s">
        <v>57</v>
      </c>
      <c r="C12" s="3" t="s">
        <v>58</v>
      </c>
      <c r="D12" s="3" t="s">
        <v>27</v>
      </c>
      <c r="E12" s="3" t="s">
        <v>15</v>
      </c>
      <c r="F12" s="3" t="s">
        <v>35</v>
      </c>
      <c r="G12" s="3" t="s">
        <v>59</v>
      </c>
      <c r="H12" s="3">
        <v>2</v>
      </c>
      <c r="I12" s="3">
        <v>400</v>
      </c>
      <c r="J12" s="3">
        <v>800</v>
      </c>
      <c r="K12" s="3">
        <v>750</v>
      </c>
      <c r="L12" s="3" t="s">
        <v>18</v>
      </c>
    </row>
    <row r="13" spans="1:16" x14ac:dyDescent="0.25">
      <c r="A13" s="2">
        <v>45670</v>
      </c>
      <c r="B13" s="3" t="s">
        <v>60</v>
      </c>
      <c r="C13" s="3" t="s">
        <v>61</v>
      </c>
      <c r="D13" s="3" t="s">
        <v>14</v>
      </c>
      <c r="E13" s="3" t="s">
        <v>22</v>
      </c>
      <c r="F13" s="3" t="s">
        <v>39</v>
      </c>
      <c r="G13" s="3" t="s">
        <v>40</v>
      </c>
      <c r="H13" s="3"/>
      <c r="I13" s="3">
        <v>650</v>
      </c>
      <c r="J13" s="3"/>
      <c r="K13" s="3">
        <v>1400</v>
      </c>
      <c r="L13" s="3" t="s">
        <v>31</v>
      </c>
    </row>
    <row r="14" spans="1:16" x14ac:dyDescent="0.25">
      <c r="A14" s="2">
        <v>45671</v>
      </c>
      <c r="B14" s="3" t="s">
        <v>62</v>
      </c>
      <c r="C14" s="3" t="s">
        <v>63</v>
      </c>
      <c r="D14" s="3" t="s">
        <v>34</v>
      </c>
      <c r="E14" s="3" t="s">
        <v>15</v>
      </c>
      <c r="F14" s="3" t="s">
        <v>16</v>
      </c>
      <c r="G14" s="3" t="s">
        <v>64</v>
      </c>
      <c r="H14" s="3">
        <v>4</v>
      </c>
      <c r="I14" s="3">
        <v>200</v>
      </c>
      <c r="J14" s="3">
        <v>800</v>
      </c>
      <c r="K14" s="3">
        <v>900</v>
      </c>
      <c r="L14" s="3" t="s">
        <v>18</v>
      </c>
    </row>
    <row r="15" spans="1:16" x14ac:dyDescent="0.25">
      <c r="A15" s="2">
        <v>45672</v>
      </c>
      <c r="B15" s="3" t="s">
        <v>65</v>
      </c>
      <c r="C15" s="3" t="s">
        <v>66</v>
      </c>
      <c r="D15" s="3" t="s">
        <v>27</v>
      </c>
      <c r="E15" s="3" t="s">
        <v>22</v>
      </c>
      <c r="F15" s="3" t="s">
        <v>53</v>
      </c>
      <c r="G15" s="3" t="s">
        <v>67</v>
      </c>
      <c r="H15" s="3">
        <v>5</v>
      </c>
      <c r="I15" s="3">
        <v>25</v>
      </c>
      <c r="J15" s="3">
        <v>125</v>
      </c>
      <c r="K15" s="3">
        <v>150</v>
      </c>
      <c r="L15" s="3" t="s">
        <v>18</v>
      </c>
    </row>
    <row r="16" spans="1:16" x14ac:dyDescent="0.25">
      <c r="A16" s="2">
        <v>45673</v>
      </c>
      <c r="B16" s="3" t="s">
        <v>68</v>
      </c>
      <c r="C16" s="3" t="s">
        <v>69</v>
      </c>
      <c r="D16" s="3" t="s">
        <v>21</v>
      </c>
      <c r="E16" s="3" t="s">
        <v>15</v>
      </c>
      <c r="F16" s="3" t="s">
        <v>35</v>
      </c>
      <c r="G16" s="3" t="s">
        <v>70</v>
      </c>
      <c r="H16" s="3">
        <v>2</v>
      </c>
      <c r="I16" s="3">
        <v>300</v>
      </c>
      <c r="J16" s="3">
        <v>600</v>
      </c>
      <c r="K16" s="3">
        <v>500</v>
      </c>
      <c r="L16" s="3" t="s">
        <v>18</v>
      </c>
    </row>
    <row r="17" spans="1:12" x14ac:dyDescent="0.25">
      <c r="A17" s="2">
        <v>45674</v>
      </c>
      <c r="B17" s="3" t="s">
        <v>71</v>
      </c>
      <c r="C17" s="3" t="s">
        <v>72</v>
      </c>
      <c r="D17" s="3" t="s">
        <v>14</v>
      </c>
      <c r="E17" s="3" t="s">
        <v>28</v>
      </c>
      <c r="F17" s="3" t="s">
        <v>29</v>
      </c>
      <c r="G17" s="3" t="s">
        <v>73</v>
      </c>
      <c r="H17" s="3"/>
      <c r="I17" s="3">
        <v>30</v>
      </c>
      <c r="J17" s="3"/>
      <c r="K17" s="3">
        <v>250</v>
      </c>
      <c r="L17" s="3" t="s">
        <v>31</v>
      </c>
    </row>
    <row r="18" spans="1:12" x14ac:dyDescent="0.25">
      <c r="A18" s="2">
        <v>45675</v>
      </c>
      <c r="B18" s="3" t="s">
        <v>74</v>
      </c>
      <c r="C18" s="3" t="s">
        <v>75</v>
      </c>
      <c r="D18" s="3" t="s">
        <v>34</v>
      </c>
      <c r="E18" s="3" t="s">
        <v>22</v>
      </c>
      <c r="F18" s="3" t="s">
        <v>23</v>
      </c>
      <c r="G18" s="3" t="s">
        <v>24</v>
      </c>
      <c r="H18" s="3">
        <v>1</v>
      </c>
      <c r="I18" s="3">
        <v>230</v>
      </c>
      <c r="J18" s="3">
        <v>230</v>
      </c>
      <c r="K18" s="3">
        <v>250</v>
      </c>
      <c r="L18" s="3" t="s">
        <v>18</v>
      </c>
    </row>
    <row r="19" spans="1:12" x14ac:dyDescent="0.25">
      <c r="A19" s="2">
        <v>45676</v>
      </c>
      <c r="B19" s="3" t="s">
        <v>76</v>
      </c>
      <c r="C19" s="3" t="s">
        <v>77</v>
      </c>
      <c r="D19" s="3" t="s">
        <v>27</v>
      </c>
      <c r="E19" s="3" t="s">
        <v>28</v>
      </c>
      <c r="F19" s="3" t="s">
        <v>78</v>
      </c>
      <c r="G19" s="3" t="s">
        <v>79</v>
      </c>
      <c r="H19" s="3">
        <v>6</v>
      </c>
      <c r="I19" s="3">
        <v>20</v>
      </c>
      <c r="J19" s="3">
        <v>120</v>
      </c>
      <c r="K19" s="3">
        <v>150</v>
      </c>
      <c r="L19" s="3" t="s">
        <v>18</v>
      </c>
    </row>
    <row r="20" spans="1:12" x14ac:dyDescent="0.25">
      <c r="A20" s="2">
        <v>45677</v>
      </c>
      <c r="B20" s="3" t="s">
        <v>80</v>
      </c>
      <c r="C20" s="3" t="s">
        <v>81</v>
      </c>
      <c r="D20" s="3" t="s">
        <v>14</v>
      </c>
      <c r="E20" s="3" t="s">
        <v>15</v>
      </c>
      <c r="F20" s="3" t="s">
        <v>49</v>
      </c>
      <c r="G20" s="3" t="s">
        <v>82</v>
      </c>
      <c r="H20" s="3">
        <v>3</v>
      </c>
      <c r="I20" s="3">
        <v>320</v>
      </c>
      <c r="J20" s="3">
        <v>960</v>
      </c>
      <c r="K20" s="3">
        <v>1000</v>
      </c>
      <c r="L20" s="3" t="s">
        <v>18</v>
      </c>
    </row>
    <row r="21" spans="1:12" x14ac:dyDescent="0.25">
      <c r="A21" s="2">
        <v>45678</v>
      </c>
      <c r="B21" s="3" t="s">
        <v>83</v>
      </c>
      <c r="C21" s="3" t="s">
        <v>84</v>
      </c>
      <c r="D21" s="3" t="s">
        <v>21</v>
      </c>
      <c r="E21" s="3" t="s">
        <v>22</v>
      </c>
      <c r="F21" s="3" t="s">
        <v>53</v>
      </c>
      <c r="G21" s="3" t="s">
        <v>85</v>
      </c>
      <c r="H21" s="3"/>
      <c r="I21" s="3">
        <v>35</v>
      </c>
      <c r="J21" s="3"/>
      <c r="K21" s="3">
        <v>175</v>
      </c>
      <c r="L21" s="3" t="s">
        <v>31</v>
      </c>
    </row>
    <row r="22" spans="1:12" x14ac:dyDescent="0.25">
      <c r="A22" s="2">
        <v>45679</v>
      </c>
      <c r="B22" s="3" t="s">
        <v>86</v>
      </c>
      <c r="C22" s="3" t="s">
        <v>87</v>
      </c>
      <c r="D22" s="3" t="s">
        <v>27</v>
      </c>
      <c r="E22" s="3" t="s">
        <v>15</v>
      </c>
      <c r="F22" s="3" t="s">
        <v>16</v>
      </c>
      <c r="G22" s="3" t="s">
        <v>88</v>
      </c>
      <c r="H22" s="3">
        <v>5</v>
      </c>
      <c r="I22" s="3">
        <v>100</v>
      </c>
      <c r="J22" s="3">
        <v>500</v>
      </c>
      <c r="K22" s="3">
        <v>600</v>
      </c>
      <c r="L22" s="3" t="s">
        <v>18</v>
      </c>
    </row>
    <row r="23" spans="1:12" x14ac:dyDescent="0.25">
      <c r="A23" s="2">
        <v>45680</v>
      </c>
      <c r="B23" s="3" t="s">
        <v>89</v>
      </c>
      <c r="C23" s="3" t="s">
        <v>90</v>
      </c>
      <c r="D23" s="3" t="s">
        <v>34</v>
      </c>
      <c r="E23" s="3" t="s">
        <v>22</v>
      </c>
      <c r="F23" s="3" t="s">
        <v>23</v>
      </c>
      <c r="G23" s="3" t="s">
        <v>24</v>
      </c>
      <c r="H23" s="3">
        <v>3</v>
      </c>
      <c r="I23" s="3">
        <v>210</v>
      </c>
      <c r="J23" s="3">
        <v>630</v>
      </c>
      <c r="K23" s="3">
        <v>700</v>
      </c>
      <c r="L23" s="3" t="s">
        <v>18</v>
      </c>
    </row>
    <row r="24" spans="1:12" x14ac:dyDescent="0.25">
      <c r="A24" s="2">
        <v>45681</v>
      </c>
      <c r="B24" s="3" t="s">
        <v>91</v>
      </c>
      <c r="C24" s="3" t="s">
        <v>92</v>
      </c>
      <c r="D24" s="3" t="s">
        <v>14</v>
      </c>
      <c r="E24" s="3" t="s">
        <v>28</v>
      </c>
      <c r="F24" s="3" t="s">
        <v>93</v>
      </c>
      <c r="G24" s="3" t="s">
        <v>94</v>
      </c>
      <c r="H24" s="3"/>
      <c r="I24" s="3">
        <v>45</v>
      </c>
      <c r="J24" s="3"/>
      <c r="K24" s="3">
        <v>250</v>
      </c>
      <c r="L24" s="3" t="s">
        <v>31</v>
      </c>
    </row>
    <row r="25" spans="1:12" x14ac:dyDescent="0.25">
      <c r="A25" s="2">
        <v>45682</v>
      </c>
      <c r="B25" s="3" t="s">
        <v>95</v>
      </c>
      <c r="C25" s="3" t="s">
        <v>96</v>
      </c>
      <c r="D25" s="3" t="s">
        <v>21</v>
      </c>
      <c r="E25" s="3" t="s">
        <v>15</v>
      </c>
      <c r="F25" s="3" t="s">
        <v>35</v>
      </c>
      <c r="G25" s="3" t="s">
        <v>97</v>
      </c>
      <c r="H25" s="3">
        <v>2</v>
      </c>
      <c r="I25" s="3">
        <v>350</v>
      </c>
      <c r="J25" s="3">
        <v>700</v>
      </c>
      <c r="K25" s="3">
        <v>800</v>
      </c>
      <c r="L25" s="3" t="s">
        <v>18</v>
      </c>
    </row>
    <row r="26" spans="1:12" x14ac:dyDescent="0.25">
      <c r="A26" s="2">
        <v>45683</v>
      </c>
      <c r="B26" s="3" t="s">
        <v>98</v>
      </c>
      <c r="C26" s="3" t="s">
        <v>99</v>
      </c>
      <c r="D26" s="3" t="s">
        <v>27</v>
      </c>
      <c r="E26" s="3" t="s">
        <v>22</v>
      </c>
      <c r="F26" s="3" t="s">
        <v>39</v>
      </c>
      <c r="G26" s="3" t="s">
        <v>100</v>
      </c>
      <c r="H26" s="3">
        <v>1</v>
      </c>
      <c r="I26" s="3">
        <v>900</v>
      </c>
      <c r="J26" s="3">
        <v>900</v>
      </c>
      <c r="K26" s="3">
        <v>950</v>
      </c>
      <c r="L26" s="3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57523-1003-493E-B83C-358EAF2BB923}">
  <dimension ref="A1:O26"/>
  <sheetViews>
    <sheetView topLeftCell="M1" workbookViewId="0">
      <selection activeCell="N3" sqref="N3"/>
    </sheetView>
  </sheetViews>
  <sheetFormatPr defaultRowHeight="15" x14ac:dyDescent="0.25"/>
  <cols>
    <col min="1" max="1" width="10.42578125" bestFit="1" customWidth="1"/>
    <col min="2" max="2" width="8.140625" bestFit="1" customWidth="1"/>
    <col min="3" max="3" width="14.42578125" bestFit="1" customWidth="1"/>
    <col min="4" max="4" width="6.42578125" bestFit="1" customWidth="1"/>
    <col min="5" max="5" width="13.140625" bestFit="1" customWidth="1"/>
    <col min="6" max="6" width="12" bestFit="1" customWidth="1"/>
    <col min="7" max="7" width="15.42578125" bestFit="1" customWidth="1"/>
    <col min="8" max="8" width="8.140625" bestFit="1" customWidth="1"/>
    <col min="9" max="9" width="8.85546875" bestFit="1" customWidth="1"/>
    <col min="10" max="10" width="5" bestFit="1" customWidth="1"/>
    <col min="11" max="11" width="6.140625" bestFit="1" customWidth="1"/>
    <col min="12" max="12" width="11.42578125" bestFit="1" customWidth="1"/>
    <col min="14" max="14" width="28.7109375" customWidth="1"/>
    <col min="15" max="15" width="35.5703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1" t="s">
        <v>114</v>
      </c>
      <c r="O1" s="1" t="s">
        <v>115</v>
      </c>
    </row>
    <row r="2" spans="1:15" x14ac:dyDescent="0.25">
      <c r="A2" s="2">
        <v>45659</v>
      </c>
      <c r="B2" s="3" t="s">
        <v>12</v>
      </c>
      <c r="C2" s="3" t="s">
        <v>116</v>
      </c>
      <c r="D2" s="3" t="s">
        <v>14</v>
      </c>
      <c r="E2" s="3" t="s">
        <v>15</v>
      </c>
      <c r="F2" s="3" t="s">
        <v>16</v>
      </c>
      <c r="G2" s="3" t="s">
        <v>17</v>
      </c>
      <c r="H2" s="3">
        <v>2</v>
      </c>
      <c r="I2" s="3">
        <v>120</v>
      </c>
      <c r="J2" s="3">
        <v>240</v>
      </c>
      <c r="K2" s="3">
        <v>300</v>
      </c>
      <c r="L2" s="3" t="s">
        <v>18</v>
      </c>
      <c r="N2">
        <f>LEN(C2)</f>
        <v>11</v>
      </c>
      <c r="O2">
        <f>LEN(TRIM(C2))</f>
        <v>9</v>
      </c>
    </row>
    <row r="3" spans="1:15" x14ac:dyDescent="0.25">
      <c r="A3" s="2">
        <v>45660</v>
      </c>
      <c r="B3" s="3" t="s">
        <v>19</v>
      </c>
      <c r="C3" s="3" t="s">
        <v>117</v>
      </c>
      <c r="D3" s="3" t="s">
        <v>21</v>
      </c>
      <c r="E3" s="3" t="s">
        <v>22</v>
      </c>
      <c r="F3" s="3" t="s">
        <v>23</v>
      </c>
      <c r="G3" s="3" t="s">
        <v>24</v>
      </c>
      <c r="H3" s="3">
        <v>3</v>
      </c>
      <c r="I3" s="3">
        <v>220</v>
      </c>
      <c r="J3" s="3">
        <v>660</v>
      </c>
      <c r="K3" s="3">
        <v>700</v>
      </c>
      <c r="L3" s="3" t="s">
        <v>18</v>
      </c>
      <c r="N3">
        <f t="shared" ref="N3:N26" si="0">LEN(C3)</f>
        <v>26</v>
      </c>
      <c r="O3">
        <f t="shared" ref="O3:O26" si="1">LEN(TRIM(C3))</f>
        <v>12</v>
      </c>
    </row>
    <row r="4" spans="1:15" x14ac:dyDescent="0.25">
      <c r="A4" s="2">
        <v>45661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>
        <v>5</v>
      </c>
      <c r="I4" s="3">
        <v>25</v>
      </c>
      <c r="J4" s="3">
        <v>125</v>
      </c>
      <c r="K4" s="3">
        <v>200</v>
      </c>
      <c r="L4" s="3" t="s">
        <v>31</v>
      </c>
      <c r="N4">
        <f t="shared" si="0"/>
        <v>12</v>
      </c>
      <c r="O4">
        <f t="shared" si="1"/>
        <v>12</v>
      </c>
    </row>
    <row r="5" spans="1:15" x14ac:dyDescent="0.25">
      <c r="A5" s="2">
        <v>45662</v>
      </c>
      <c r="B5" s="3" t="s">
        <v>32</v>
      </c>
      <c r="C5" s="3" t="s">
        <v>33</v>
      </c>
      <c r="D5" s="3" t="s">
        <v>34</v>
      </c>
      <c r="E5" s="3" t="s">
        <v>15</v>
      </c>
      <c r="F5" s="3" t="s">
        <v>35</v>
      </c>
      <c r="G5" s="3" t="s">
        <v>36</v>
      </c>
      <c r="H5" s="3">
        <v>1</v>
      </c>
      <c r="I5" s="3">
        <v>450</v>
      </c>
      <c r="J5" s="3">
        <v>450</v>
      </c>
      <c r="K5" s="3">
        <v>500</v>
      </c>
      <c r="L5" s="3" t="s">
        <v>18</v>
      </c>
      <c r="N5">
        <f t="shared" si="0"/>
        <v>12</v>
      </c>
      <c r="O5">
        <f t="shared" si="1"/>
        <v>12</v>
      </c>
    </row>
    <row r="6" spans="1:15" x14ac:dyDescent="0.25">
      <c r="A6" s="2">
        <v>45663</v>
      </c>
      <c r="B6" s="3" t="s">
        <v>37</v>
      </c>
      <c r="C6" s="3" t="s">
        <v>38</v>
      </c>
      <c r="D6" s="3" t="s">
        <v>14</v>
      </c>
      <c r="E6" s="3" t="s">
        <v>22</v>
      </c>
      <c r="F6" s="3" t="s">
        <v>39</v>
      </c>
      <c r="G6" s="3" t="s">
        <v>40</v>
      </c>
      <c r="H6" s="3">
        <v>2</v>
      </c>
      <c r="I6" s="3">
        <v>650</v>
      </c>
      <c r="J6" s="3">
        <v>1300</v>
      </c>
      <c r="K6" s="3">
        <v>1400</v>
      </c>
      <c r="L6" s="3" t="s">
        <v>18</v>
      </c>
      <c r="N6">
        <f t="shared" si="0"/>
        <v>14</v>
      </c>
      <c r="O6">
        <f t="shared" si="1"/>
        <v>14</v>
      </c>
    </row>
    <row r="7" spans="1:15" x14ac:dyDescent="0.25">
      <c r="A7" s="2">
        <v>45664</v>
      </c>
      <c r="B7" s="3" t="s">
        <v>41</v>
      </c>
      <c r="C7" s="3" t="s">
        <v>42</v>
      </c>
      <c r="D7" s="3" t="s">
        <v>21</v>
      </c>
      <c r="E7" s="3" t="s">
        <v>15</v>
      </c>
      <c r="F7" s="3" t="s">
        <v>16</v>
      </c>
      <c r="G7" s="3" t="s">
        <v>17</v>
      </c>
      <c r="H7" s="3">
        <v>3</v>
      </c>
      <c r="I7" s="3">
        <v>115</v>
      </c>
      <c r="J7" s="3">
        <v>345</v>
      </c>
      <c r="K7" s="3">
        <v>350</v>
      </c>
      <c r="L7" s="3" t="s">
        <v>18</v>
      </c>
      <c r="N7">
        <f t="shared" si="0"/>
        <v>13</v>
      </c>
      <c r="O7">
        <f t="shared" si="1"/>
        <v>13</v>
      </c>
    </row>
    <row r="8" spans="1:15" x14ac:dyDescent="0.25">
      <c r="A8" s="2">
        <v>45665</v>
      </c>
      <c r="B8" s="3" t="s">
        <v>43</v>
      </c>
      <c r="C8" s="3" t="s">
        <v>44</v>
      </c>
      <c r="D8" s="3" t="s">
        <v>27</v>
      </c>
      <c r="E8" s="3" t="s">
        <v>28</v>
      </c>
      <c r="F8" s="3" t="s">
        <v>45</v>
      </c>
      <c r="G8" s="3" t="s">
        <v>46</v>
      </c>
      <c r="H8" s="3">
        <v>8</v>
      </c>
      <c r="I8" s="3">
        <v>15</v>
      </c>
      <c r="J8" s="3">
        <v>120</v>
      </c>
      <c r="K8" s="3">
        <v>150</v>
      </c>
      <c r="L8" s="3" t="s">
        <v>18</v>
      </c>
      <c r="N8">
        <f t="shared" si="0"/>
        <v>11</v>
      </c>
      <c r="O8">
        <f t="shared" si="1"/>
        <v>11</v>
      </c>
    </row>
    <row r="9" spans="1:15" x14ac:dyDescent="0.25">
      <c r="A9" s="2">
        <v>45666</v>
      </c>
      <c r="B9" s="3" t="s">
        <v>47</v>
      </c>
      <c r="C9" s="3" t="s">
        <v>48</v>
      </c>
      <c r="D9" s="3" t="s">
        <v>14</v>
      </c>
      <c r="E9" s="3" t="s">
        <v>15</v>
      </c>
      <c r="F9" s="3" t="s">
        <v>49</v>
      </c>
      <c r="G9" s="3" t="s">
        <v>50</v>
      </c>
      <c r="H9" s="3"/>
      <c r="I9" s="3">
        <v>300</v>
      </c>
      <c r="J9" s="3"/>
      <c r="K9" s="3">
        <v>600</v>
      </c>
      <c r="L9" s="3" t="s">
        <v>31</v>
      </c>
      <c r="N9">
        <f t="shared" si="0"/>
        <v>12</v>
      </c>
      <c r="O9">
        <f t="shared" si="1"/>
        <v>12</v>
      </c>
    </row>
    <row r="10" spans="1:15" x14ac:dyDescent="0.25">
      <c r="A10" s="2">
        <v>45667</v>
      </c>
      <c r="B10" s="3" t="s">
        <v>51</v>
      </c>
      <c r="C10" s="3" t="s">
        <v>52</v>
      </c>
      <c r="D10" s="3" t="s">
        <v>34</v>
      </c>
      <c r="E10" s="3" t="s">
        <v>22</v>
      </c>
      <c r="F10" s="3" t="s">
        <v>53</v>
      </c>
      <c r="G10" s="3" t="s">
        <v>54</v>
      </c>
      <c r="H10" s="3">
        <v>10</v>
      </c>
      <c r="I10" s="3">
        <v>10</v>
      </c>
      <c r="J10" s="3">
        <v>100</v>
      </c>
      <c r="K10" s="3">
        <v>150</v>
      </c>
      <c r="L10" s="3" t="s">
        <v>18</v>
      </c>
      <c r="N10">
        <f t="shared" si="0"/>
        <v>11</v>
      </c>
      <c r="O10">
        <f t="shared" si="1"/>
        <v>11</v>
      </c>
    </row>
    <row r="11" spans="1:15" x14ac:dyDescent="0.25">
      <c r="A11" s="2">
        <v>45668</v>
      </c>
      <c r="B11" s="3" t="s">
        <v>55</v>
      </c>
      <c r="C11" s="3" t="s">
        <v>56</v>
      </c>
      <c r="D11" s="3" t="s">
        <v>21</v>
      </c>
      <c r="E11" s="3" t="s">
        <v>28</v>
      </c>
      <c r="F11" s="3" t="s">
        <v>29</v>
      </c>
      <c r="G11" s="3" t="s">
        <v>30</v>
      </c>
      <c r="H11" s="3"/>
      <c r="I11" s="3">
        <v>25</v>
      </c>
      <c r="J11" s="3"/>
      <c r="K11" s="3">
        <v>200</v>
      </c>
      <c r="L11" s="3" t="s">
        <v>31</v>
      </c>
      <c r="N11">
        <f t="shared" si="0"/>
        <v>14</v>
      </c>
      <c r="O11">
        <f t="shared" si="1"/>
        <v>14</v>
      </c>
    </row>
    <row r="12" spans="1:15" x14ac:dyDescent="0.25">
      <c r="A12" s="2">
        <v>45669</v>
      </c>
      <c r="B12" s="3" t="s">
        <v>57</v>
      </c>
      <c r="C12" s="3" t="s">
        <v>58</v>
      </c>
      <c r="D12" s="3" t="s">
        <v>27</v>
      </c>
      <c r="E12" s="3" t="s">
        <v>15</v>
      </c>
      <c r="F12" s="3" t="s">
        <v>35</v>
      </c>
      <c r="G12" s="3" t="s">
        <v>59</v>
      </c>
      <c r="H12" s="3">
        <v>2</v>
      </c>
      <c r="I12" s="3">
        <v>400</v>
      </c>
      <c r="J12" s="3">
        <v>800</v>
      </c>
      <c r="K12" s="3">
        <v>750</v>
      </c>
      <c r="L12" s="3" t="s">
        <v>18</v>
      </c>
      <c r="N12">
        <f t="shared" si="0"/>
        <v>10</v>
      </c>
      <c r="O12">
        <f t="shared" si="1"/>
        <v>10</v>
      </c>
    </row>
    <row r="13" spans="1:15" x14ac:dyDescent="0.25">
      <c r="A13" s="2">
        <v>45670</v>
      </c>
      <c r="B13" s="3" t="s">
        <v>60</v>
      </c>
      <c r="C13" s="3" t="s">
        <v>61</v>
      </c>
      <c r="D13" s="3" t="s">
        <v>14</v>
      </c>
      <c r="E13" s="3" t="s">
        <v>22</v>
      </c>
      <c r="F13" s="3" t="s">
        <v>39</v>
      </c>
      <c r="G13" s="3" t="s">
        <v>40</v>
      </c>
      <c r="H13" s="3"/>
      <c r="I13" s="3">
        <v>650</v>
      </c>
      <c r="J13" s="3"/>
      <c r="K13" s="3">
        <v>1400</v>
      </c>
      <c r="L13" s="3" t="s">
        <v>31</v>
      </c>
      <c r="N13">
        <f t="shared" si="0"/>
        <v>12</v>
      </c>
      <c r="O13">
        <f t="shared" si="1"/>
        <v>12</v>
      </c>
    </row>
    <row r="14" spans="1:15" x14ac:dyDescent="0.25">
      <c r="A14" s="2">
        <v>45671</v>
      </c>
      <c r="B14" s="3" t="s">
        <v>62</v>
      </c>
      <c r="C14" s="3" t="s">
        <v>63</v>
      </c>
      <c r="D14" s="3" t="s">
        <v>34</v>
      </c>
      <c r="E14" s="3" t="s">
        <v>15</v>
      </c>
      <c r="F14" s="3" t="s">
        <v>16</v>
      </c>
      <c r="G14" s="3" t="s">
        <v>64</v>
      </c>
      <c r="H14" s="3">
        <v>4</v>
      </c>
      <c r="I14" s="3">
        <v>200</v>
      </c>
      <c r="J14" s="3">
        <v>800</v>
      </c>
      <c r="K14" s="3">
        <v>900</v>
      </c>
      <c r="L14" s="3" t="s">
        <v>18</v>
      </c>
      <c r="N14">
        <f t="shared" si="0"/>
        <v>11</v>
      </c>
      <c r="O14">
        <f t="shared" si="1"/>
        <v>11</v>
      </c>
    </row>
    <row r="15" spans="1:15" x14ac:dyDescent="0.25">
      <c r="A15" s="2">
        <v>45672</v>
      </c>
      <c r="B15" s="3" t="s">
        <v>65</v>
      </c>
      <c r="C15" s="3" t="s">
        <v>66</v>
      </c>
      <c r="D15" s="3" t="s">
        <v>27</v>
      </c>
      <c r="E15" s="3" t="s">
        <v>22</v>
      </c>
      <c r="F15" s="3" t="s">
        <v>53</v>
      </c>
      <c r="G15" s="3" t="s">
        <v>67</v>
      </c>
      <c r="H15" s="3">
        <v>5</v>
      </c>
      <c r="I15" s="3">
        <v>25</v>
      </c>
      <c r="J15" s="3">
        <v>125</v>
      </c>
      <c r="K15" s="3">
        <v>150</v>
      </c>
      <c r="L15" s="3" t="s">
        <v>18</v>
      </c>
      <c r="N15">
        <f t="shared" si="0"/>
        <v>12</v>
      </c>
      <c r="O15">
        <f t="shared" si="1"/>
        <v>12</v>
      </c>
    </row>
    <row r="16" spans="1:15" x14ac:dyDescent="0.25">
      <c r="A16" s="2">
        <v>45673</v>
      </c>
      <c r="B16" s="3" t="s">
        <v>68</v>
      </c>
      <c r="C16" s="3" t="s">
        <v>69</v>
      </c>
      <c r="D16" s="3" t="s">
        <v>21</v>
      </c>
      <c r="E16" s="3" t="s">
        <v>15</v>
      </c>
      <c r="F16" s="3" t="s">
        <v>35</v>
      </c>
      <c r="G16" s="3" t="s">
        <v>70</v>
      </c>
      <c r="H16" s="3">
        <v>2</v>
      </c>
      <c r="I16" s="3">
        <v>300</v>
      </c>
      <c r="J16" s="3">
        <v>600</v>
      </c>
      <c r="K16" s="3">
        <v>500</v>
      </c>
      <c r="L16" s="3" t="s">
        <v>18</v>
      </c>
      <c r="N16">
        <f t="shared" si="0"/>
        <v>13</v>
      </c>
      <c r="O16">
        <f t="shared" si="1"/>
        <v>13</v>
      </c>
    </row>
    <row r="17" spans="1:15" x14ac:dyDescent="0.25">
      <c r="A17" s="2">
        <v>45674</v>
      </c>
      <c r="B17" s="3" t="s">
        <v>71</v>
      </c>
      <c r="C17" s="3" t="s">
        <v>72</v>
      </c>
      <c r="D17" s="3" t="s">
        <v>14</v>
      </c>
      <c r="E17" s="3" t="s">
        <v>28</v>
      </c>
      <c r="F17" s="3" t="s">
        <v>29</v>
      </c>
      <c r="G17" s="3" t="s">
        <v>73</v>
      </c>
      <c r="H17" s="3"/>
      <c r="I17" s="3">
        <v>30</v>
      </c>
      <c r="J17" s="3"/>
      <c r="K17" s="3">
        <v>250</v>
      </c>
      <c r="L17" s="3" t="s">
        <v>31</v>
      </c>
      <c r="N17">
        <f t="shared" si="0"/>
        <v>11</v>
      </c>
      <c r="O17">
        <f t="shared" si="1"/>
        <v>11</v>
      </c>
    </row>
    <row r="18" spans="1:15" x14ac:dyDescent="0.25">
      <c r="A18" s="2">
        <v>45675</v>
      </c>
      <c r="B18" s="3" t="s">
        <v>74</v>
      </c>
      <c r="C18" s="3" t="s">
        <v>75</v>
      </c>
      <c r="D18" s="3" t="s">
        <v>34</v>
      </c>
      <c r="E18" s="3" t="s">
        <v>22</v>
      </c>
      <c r="F18" s="3" t="s">
        <v>23</v>
      </c>
      <c r="G18" s="3" t="s">
        <v>24</v>
      </c>
      <c r="H18" s="3">
        <v>1</v>
      </c>
      <c r="I18" s="3">
        <v>230</v>
      </c>
      <c r="J18" s="3">
        <v>230</v>
      </c>
      <c r="K18" s="3">
        <v>250</v>
      </c>
      <c r="L18" s="3" t="s">
        <v>18</v>
      </c>
      <c r="N18">
        <f t="shared" si="0"/>
        <v>13</v>
      </c>
      <c r="O18">
        <f t="shared" si="1"/>
        <v>13</v>
      </c>
    </row>
    <row r="19" spans="1:15" x14ac:dyDescent="0.25">
      <c r="A19" s="2">
        <v>45676</v>
      </c>
      <c r="B19" s="3" t="s">
        <v>76</v>
      </c>
      <c r="C19" s="3" t="s">
        <v>77</v>
      </c>
      <c r="D19" s="3" t="s">
        <v>27</v>
      </c>
      <c r="E19" s="3" t="s">
        <v>28</v>
      </c>
      <c r="F19" s="3" t="s">
        <v>78</v>
      </c>
      <c r="G19" s="3" t="s">
        <v>79</v>
      </c>
      <c r="H19" s="3">
        <v>6</v>
      </c>
      <c r="I19" s="3">
        <v>20</v>
      </c>
      <c r="J19" s="3">
        <v>120</v>
      </c>
      <c r="K19" s="3">
        <v>150</v>
      </c>
      <c r="L19" s="3" t="s">
        <v>18</v>
      </c>
      <c r="N19">
        <f t="shared" si="0"/>
        <v>13</v>
      </c>
      <c r="O19">
        <f t="shared" si="1"/>
        <v>13</v>
      </c>
    </row>
    <row r="20" spans="1:15" x14ac:dyDescent="0.25">
      <c r="A20" s="2">
        <v>45677</v>
      </c>
      <c r="B20" s="3" t="s">
        <v>80</v>
      </c>
      <c r="C20" s="3" t="s">
        <v>81</v>
      </c>
      <c r="D20" s="3" t="s">
        <v>14</v>
      </c>
      <c r="E20" s="3" t="s">
        <v>15</v>
      </c>
      <c r="F20" s="3" t="s">
        <v>49</v>
      </c>
      <c r="G20" s="3" t="s">
        <v>82</v>
      </c>
      <c r="H20" s="3">
        <v>3</v>
      </c>
      <c r="I20" s="3">
        <v>320</v>
      </c>
      <c r="J20" s="3">
        <v>960</v>
      </c>
      <c r="K20" s="3">
        <v>1000</v>
      </c>
      <c r="L20" s="3" t="s">
        <v>18</v>
      </c>
      <c r="N20">
        <f t="shared" si="0"/>
        <v>11</v>
      </c>
      <c r="O20">
        <f t="shared" si="1"/>
        <v>11</v>
      </c>
    </row>
    <row r="21" spans="1:15" x14ac:dyDescent="0.25">
      <c r="A21" s="2">
        <v>45678</v>
      </c>
      <c r="B21" s="3" t="s">
        <v>83</v>
      </c>
      <c r="C21" s="3" t="s">
        <v>118</v>
      </c>
      <c r="D21" s="3" t="s">
        <v>21</v>
      </c>
      <c r="E21" s="3" t="s">
        <v>22</v>
      </c>
      <c r="F21" s="3" t="s">
        <v>53</v>
      </c>
      <c r="G21" s="3" t="s">
        <v>85</v>
      </c>
      <c r="H21" s="3"/>
      <c r="I21" s="3">
        <v>35</v>
      </c>
      <c r="J21" s="3"/>
      <c r="K21" s="3">
        <v>175</v>
      </c>
      <c r="L21" s="3" t="s">
        <v>31</v>
      </c>
      <c r="N21">
        <f t="shared" si="0"/>
        <v>49</v>
      </c>
      <c r="O21">
        <f t="shared" si="1"/>
        <v>10</v>
      </c>
    </row>
    <row r="22" spans="1:15" x14ac:dyDescent="0.25">
      <c r="A22" s="2">
        <v>45679</v>
      </c>
      <c r="B22" s="3" t="s">
        <v>86</v>
      </c>
      <c r="C22" s="3" t="s">
        <v>87</v>
      </c>
      <c r="D22" s="3" t="s">
        <v>27</v>
      </c>
      <c r="E22" s="3" t="s">
        <v>15</v>
      </c>
      <c r="F22" s="3" t="s">
        <v>16</v>
      </c>
      <c r="G22" s="3" t="s">
        <v>88</v>
      </c>
      <c r="H22" s="3">
        <v>5</v>
      </c>
      <c r="I22" s="3">
        <v>100</v>
      </c>
      <c r="J22" s="3">
        <v>500</v>
      </c>
      <c r="K22" s="3">
        <v>600</v>
      </c>
      <c r="L22" s="3" t="s">
        <v>18</v>
      </c>
      <c r="N22">
        <f t="shared" si="0"/>
        <v>13</v>
      </c>
      <c r="O22">
        <f t="shared" si="1"/>
        <v>13</v>
      </c>
    </row>
    <row r="23" spans="1:15" x14ac:dyDescent="0.25">
      <c r="A23" s="2">
        <v>45680</v>
      </c>
      <c r="B23" s="3" t="s">
        <v>89</v>
      </c>
      <c r="C23" s="3" t="s">
        <v>90</v>
      </c>
      <c r="D23" s="3" t="s">
        <v>34</v>
      </c>
      <c r="E23" s="3" t="s">
        <v>22</v>
      </c>
      <c r="F23" s="3" t="s">
        <v>23</v>
      </c>
      <c r="G23" s="3" t="s">
        <v>24</v>
      </c>
      <c r="H23" s="3">
        <v>3</v>
      </c>
      <c r="I23" s="3">
        <v>210</v>
      </c>
      <c r="J23" s="3">
        <v>630</v>
      </c>
      <c r="K23" s="3">
        <v>700</v>
      </c>
      <c r="L23" s="3" t="s">
        <v>18</v>
      </c>
      <c r="N23">
        <f t="shared" si="0"/>
        <v>11</v>
      </c>
      <c r="O23">
        <f t="shared" si="1"/>
        <v>11</v>
      </c>
    </row>
    <row r="24" spans="1:15" x14ac:dyDescent="0.25">
      <c r="A24" s="2">
        <v>45681</v>
      </c>
      <c r="B24" s="3" t="s">
        <v>91</v>
      </c>
      <c r="C24" s="3" t="s">
        <v>92</v>
      </c>
      <c r="D24" s="3" t="s">
        <v>14</v>
      </c>
      <c r="E24" s="3" t="s">
        <v>28</v>
      </c>
      <c r="F24" s="3" t="s">
        <v>93</v>
      </c>
      <c r="G24" s="3" t="s">
        <v>94</v>
      </c>
      <c r="H24" s="3"/>
      <c r="I24" s="3">
        <v>45</v>
      </c>
      <c r="J24" s="3"/>
      <c r="K24" s="3">
        <v>250</v>
      </c>
      <c r="L24" s="3" t="s">
        <v>31</v>
      </c>
      <c r="N24">
        <f t="shared" si="0"/>
        <v>13</v>
      </c>
      <c r="O24">
        <f t="shared" si="1"/>
        <v>13</v>
      </c>
    </row>
    <row r="25" spans="1:15" x14ac:dyDescent="0.25">
      <c r="A25" s="2">
        <v>45682</v>
      </c>
      <c r="B25" s="3" t="s">
        <v>95</v>
      </c>
      <c r="C25" s="3" t="s">
        <v>119</v>
      </c>
      <c r="D25" s="3" t="s">
        <v>21</v>
      </c>
      <c r="E25" s="3" t="s">
        <v>15</v>
      </c>
      <c r="F25" s="3" t="s">
        <v>35</v>
      </c>
      <c r="G25" s="3" t="s">
        <v>97</v>
      </c>
      <c r="H25" s="3">
        <v>2</v>
      </c>
      <c r="I25" s="3">
        <v>350</v>
      </c>
      <c r="J25" s="3">
        <v>700</v>
      </c>
      <c r="K25" s="3">
        <v>800</v>
      </c>
      <c r="L25" s="3" t="s">
        <v>18</v>
      </c>
      <c r="N25">
        <f t="shared" si="0"/>
        <v>34</v>
      </c>
      <c r="O25">
        <f t="shared" si="1"/>
        <v>14</v>
      </c>
    </row>
    <row r="26" spans="1:15" x14ac:dyDescent="0.25">
      <c r="A26" s="2">
        <v>45683</v>
      </c>
      <c r="B26" s="3" t="s">
        <v>98</v>
      </c>
      <c r="C26" s="3" t="s">
        <v>99</v>
      </c>
      <c r="D26" s="3" t="s">
        <v>27</v>
      </c>
      <c r="E26" s="3" t="s">
        <v>22</v>
      </c>
      <c r="F26" s="3" t="s">
        <v>39</v>
      </c>
      <c r="G26" s="3" t="s">
        <v>100</v>
      </c>
      <c r="H26" s="3">
        <v>1</v>
      </c>
      <c r="I26" s="3">
        <v>900</v>
      </c>
      <c r="J26" s="3">
        <v>900</v>
      </c>
      <c r="K26" s="3">
        <v>950</v>
      </c>
      <c r="L26" s="3" t="s">
        <v>18</v>
      </c>
      <c r="N26">
        <f t="shared" si="0"/>
        <v>13</v>
      </c>
      <c r="O26">
        <f t="shared" si="1"/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13111-1E45-4FD9-B38F-845AEB19F840}">
  <dimension ref="A1:Q26"/>
  <sheetViews>
    <sheetView tabSelected="1" topLeftCell="E1" zoomScale="85" zoomScaleNormal="85" workbookViewId="0">
      <selection activeCell="Q5" sqref="Q5"/>
    </sheetView>
  </sheetViews>
  <sheetFormatPr defaultRowHeight="15" x14ac:dyDescent="0.25"/>
  <cols>
    <col min="1" max="1" width="10.42578125" bestFit="1" customWidth="1"/>
    <col min="2" max="2" width="8.140625" bestFit="1" customWidth="1"/>
    <col min="3" max="3" width="14.42578125" bestFit="1" customWidth="1"/>
    <col min="4" max="4" width="6.42578125" bestFit="1" customWidth="1"/>
    <col min="5" max="5" width="13.140625" bestFit="1" customWidth="1"/>
    <col min="6" max="6" width="12" bestFit="1" customWidth="1"/>
    <col min="7" max="7" width="15.42578125" bestFit="1" customWidth="1"/>
    <col min="8" max="8" width="8.140625" bestFit="1" customWidth="1"/>
    <col min="9" max="9" width="8.85546875" bestFit="1" customWidth="1"/>
    <col min="10" max="10" width="5" bestFit="1" customWidth="1"/>
    <col min="11" max="11" width="6.140625" bestFit="1" customWidth="1"/>
    <col min="12" max="12" width="11.42578125" bestFit="1" customWidth="1"/>
    <col min="14" max="14" width="22.5703125" customWidth="1"/>
    <col min="16" max="16" width="28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1" t="s">
        <v>120</v>
      </c>
    </row>
    <row r="2" spans="1:17" x14ac:dyDescent="0.25">
      <c r="A2" s="2">
        <v>45659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>
        <v>2</v>
      </c>
      <c r="I2" s="3">
        <v>120</v>
      </c>
      <c r="J2" s="3">
        <v>240</v>
      </c>
      <c r="K2" s="3">
        <v>300</v>
      </c>
      <c r="L2" s="3" t="s">
        <v>18</v>
      </c>
      <c r="N2" t="str">
        <f>IF(J2&gt;=K2,"Target met",IF(J2&lt;K2,"Below Target"))</f>
        <v>Below Target</v>
      </c>
    </row>
    <row r="3" spans="1:17" x14ac:dyDescent="0.25">
      <c r="A3" s="2">
        <v>45660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>
        <v>3</v>
      </c>
      <c r="I3" s="3">
        <v>220</v>
      </c>
      <c r="J3" s="3">
        <v>660</v>
      </c>
      <c r="K3" s="3">
        <v>700</v>
      </c>
      <c r="L3" s="3" t="s">
        <v>18</v>
      </c>
      <c r="N3" t="str">
        <f t="shared" ref="N3:N26" si="0">IF(J3&gt;=K3,"Target met",IF(J3&lt;K3,"Below Target"))</f>
        <v>Below Target</v>
      </c>
    </row>
    <row r="4" spans="1:17" x14ac:dyDescent="0.25">
      <c r="A4" s="2">
        <v>45661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>
        <v>5</v>
      </c>
      <c r="I4" s="3">
        <v>25</v>
      </c>
      <c r="J4" s="3">
        <v>125</v>
      </c>
      <c r="K4" s="3">
        <v>200</v>
      </c>
      <c r="L4" s="3" t="s">
        <v>31</v>
      </c>
      <c r="N4" t="str">
        <f t="shared" si="0"/>
        <v>Below Target</v>
      </c>
    </row>
    <row r="5" spans="1:17" x14ac:dyDescent="0.25">
      <c r="A5" s="2">
        <v>45662</v>
      </c>
      <c r="B5" s="3" t="s">
        <v>32</v>
      </c>
      <c r="C5" s="3" t="s">
        <v>33</v>
      </c>
      <c r="D5" s="3" t="s">
        <v>34</v>
      </c>
      <c r="E5" s="3" t="s">
        <v>15</v>
      </c>
      <c r="F5" s="3" t="s">
        <v>35</v>
      </c>
      <c r="G5" s="3" t="s">
        <v>36</v>
      </c>
      <c r="H5" s="3">
        <v>1</v>
      </c>
      <c r="I5" s="3">
        <v>450</v>
      </c>
      <c r="J5" s="3">
        <v>450</v>
      </c>
      <c r="K5" s="3">
        <v>500</v>
      </c>
      <c r="L5" s="3" t="s">
        <v>18</v>
      </c>
      <c r="N5" t="str">
        <f t="shared" si="0"/>
        <v>Below Target</v>
      </c>
      <c r="P5" t="s">
        <v>122</v>
      </c>
      <c r="Q5">
        <f>COUNTIF(N2:N25,"Target met")</f>
        <v>2</v>
      </c>
    </row>
    <row r="6" spans="1:17" x14ac:dyDescent="0.25">
      <c r="A6" s="2">
        <v>45663</v>
      </c>
      <c r="B6" s="3" t="s">
        <v>37</v>
      </c>
      <c r="C6" s="3" t="s">
        <v>38</v>
      </c>
      <c r="D6" s="3" t="s">
        <v>14</v>
      </c>
      <c r="E6" s="3" t="s">
        <v>22</v>
      </c>
      <c r="F6" s="3" t="s">
        <v>39</v>
      </c>
      <c r="G6" s="3" t="s">
        <v>40</v>
      </c>
      <c r="H6" s="3">
        <v>2</v>
      </c>
      <c r="I6" s="3">
        <v>650</v>
      </c>
      <c r="J6" s="3">
        <v>1300</v>
      </c>
      <c r="K6" s="3">
        <v>1400</v>
      </c>
      <c r="L6" s="3" t="s">
        <v>18</v>
      </c>
      <c r="N6" t="str">
        <f t="shared" si="0"/>
        <v>Below Target</v>
      </c>
      <c r="P6" t="s">
        <v>123</v>
      </c>
      <c r="Q6">
        <f>COUNTIF(N2:N26,"Below Target")</f>
        <v>23</v>
      </c>
    </row>
    <row r="7" spans="1:17" x14ac:dyDescent="0.25">
      <c r="A7" s="2">
        <v>45664</v>
      </c>
      <c r="B7" s="3" t="s">
        <v>41</v>
      </c>
      <c r="C7" s="3" t="s">
        <v>42</v>
      </c>
      <c r="D7" s="3" t="s">
        <v>21</v>
      </c>
      <c r="E7" s="3" t="s">
        <v>15</v>
      </c>
      <c r="F7" s="3" t="s">
        <v>16</v>
      </c>
      <c r="G7" s="3" t="s">
        <v>17</v>
      </c>
      <c r="H7" s="3">
        <v>3</v>
      </c>
      <c r="I7" s="3">
        <v>115</v>
      </c>
      <c r="J7" s="3">
        <v>345</v>
      </c>
      <c r="K7" s="3">
        <v>350</v>
      </c>
      <c r="L7" s="3" t="s">
        <v>18</v>
      </c>
      <c r="N7" t="str">
        <f t="shared" si="0"/>
        <v>Below Target</v>
      </c>
    </row>
    <row r="8" spans="1:17" x14ac:dyDescent="0.25">
      <c r="A8" s="2">
        <v>45665</v>
      </c>
      <c r="B8" s="3" t="s">
        <v>43</v>
      </c>
      <c r="C8" s="3" t="s">
        <v>44</v>
      </c>
      <c r="D8" s="3" t="s">
        <v>27</v>
      </c>
      <c r="E8" s="3" t="s">
        <v>28</v>
      </c>
      <c r="F8" s="3" t="s">
        <v>45</v>
      </c>
      <c r="G8" s="3" t="s">
        <v>46</v>
      </c>
      <c r="H8" s="3">
        <v>8</v>
      </c>
      <c r="I8" s="3">
        <v>15</v>
      </c>
      <c r="J8" s="3">
        <v>120</v>
      </c>
      <c r="K8" s="3">
        <v>150</v>
      </c>
      <c r="L8" s="3" t="s">
        <v>18</v>
      </c>
      <c r="N8" t="str">
        <f t="shared" si="0"/>
        <v>Below Target</v>
      </c>
    </row>
    <row r="9" spans="1:17" x14ac:dyDescent="0.25">
      <c r="A9" s="2">
        <v>45666</v>
      </c>
      <c r="B9" s="3" t="s">
        <v>47</v>
      </c>
      <c r="C9" s="3" t="s">
        <v>48</v>
      </c>
      <c r="D9" s="3" t="s">
        <v>14</v>
      </c>
      <c r="E9" s="3" t="s">
        <v>15</v>
      </c>
      <c r="F9" s="3" t="s">
        <v>49</v>
      </c>
      <c r="G9" s="3" t="s">
        <v>50</v>
      </c>
      <c r="H9" s="3"/>
      <c r="I9" s="3">
        <v>300</v>
      </c>
      <c r="J9" s="3"/>
      <c r="K9" s="3">
        <v>600</v>
      </c>
      <c r="L9" s="3" t="s">
        <v>31</v>
      </c>
      <c r="N9" t="str">
        <f t="shared" si="0"/>
        <v>Below Target</v>
      </c>
    </row>
    <row r="10" spans="1:17" x14ac:dyDescent="0.25">
      <c r="A10" s="2">
        <v>45667</v>
      </c>
      <c r="B10" s="3" t="s">
        <v>51</v>
      </c>
      <c r="C10" s="3" t="s">
        <v>52</v>
      </c>
      <c r="D10" s="3" t="s">
        <v>34</v>
      </c>
      <c r="E10" s="3" t="s">
        <v>22</v>
      </c>
      <c r="F10" s="3" t="s">
        <v>53</v>
      </c>
      <c r="G10" s="3" t="s">
        <v>54</v>
      </c>
      <c r="H10" s="3">
        <v>10</v>
      </c>
      <c r="I10" s="3">
        <v>10</v>
      </c>
      <c r="J10" s="3">
        <v>100</v>
      </c>
      <c r="K10" s="3">
        <v>150</v>
      </c>
      <c r="L10" s="3" t="s">
        <v>18</v>
      </c>
      <c r="N10" t="str">
        <f t="shared" si="0"/>
        <v>Below Target</v>
      </c>
    </row>
    <row r="11" spans="1:17" x14ac:dyDescent="0.25">
      <c r="A11" s="2">
        <v>45668</v>
      </c>
      <c r="B11" s="3" t="s">
        <v>55</v>
      </c>
      <c r="C11" s="3" t="s">
        <v>56</v>
      </c>
      <c r="D11" s="3" t="s">
        <v>21</v>
      </c>
      <c r="E11" s="3" t="s">
        <v>28</v>
      </c>
      <c r="F11" s="3" t="s">
        <v>29</v>
      </c>
      <c r="G11" s="3" t="s">
        <v>30</v>
      </c>
      <c r="H11" s="3"/>
      <c r="I11" s="3">
        <v>25</v>
      </c>
      <c r="J11" s="3"/>
      <c r="K11" s="3">
        <v>200</v>
      </c>
      <c r="L11" s="3" t="s">
        <v>31</v>
      </c>
      <c r="N11" t="str">
        <f t="shared" si="0"/>
        <v>Below Target</v>
      </c>
    </row>
    <row r="12" spans="1:17" x14ac:dyDescent="0.25">
      <c r="A12" s="2">
        <v>45669</v>
      </c>
      <c r="B12" s="3" t="s">
        <v>57</v>
      </c>
      <c r="C12" s="3" t="s">
        <v>58</v>
      </c>
      <c r="D12" s="3" t="s">
        <v>27</v>
      </c>
      <c r="E12" s="3" t="s">
        <v>15</v>
      </c>
      <c r="F12" s="3" t="s">
        <v>35</v>
      </c>
      <c r="G12" s="3" t="s">
        <v>59</v>
      </c>
      <c r="H12" s="3">
        <v>2</v>
      </c>
      <c r="I12" s="3">
        <v>400</v>
      </c>
      <c r="J12" s="3">
        <v>800</v>
      </c>
      <c r="K12" s="3">
        <v>750</v>
      </c>
      <c r="L12" s="3" t="s">
        <v>18</v>
      </c>
      <c r="N12" t="str">
        <f t="shared" si="0"/>
        <v>Target met</v>
      </c>
    </row>
    <row r="13" spans="1:17" x14ac:dyDescent="0.25">
      <c r="A13" s="2">
        <v>45670</v>
      </c>
      <c r="B13" s="3" t="s">
        <v>60</v>
      </c>
      <c r="C13" s="3" t="s">
        <v>61</v>
      </c>
      <c r="D13" s="3" t="s">
        <v>14</v>
      </c>
      <c r="E13" s="3" t="s">
        <v>22</v>
      </c>
      <c r="F13" s="3" t="s">
        <v>39</v>
      </c>
      <c r="G13" s="3" t="s">
        <v>40</v>
      </c>
      <c r="H13" s="3"/>
      <c r="I13" s="3">
        <v>650</v>
      </c>
      <c r="J13" s="3"/>
      <c r="K13" s="3">
        <v>1400</v>
      </c>
      <c r="L13" s="3" t="s">
        <v>31</v>
      </c>
      <c r="N13" t="str">
        <f t="shared" si="0"/>
        <v>Below Target</v>
      </c>
    </row>
    <row r="14" spans="1:17" x14ac:dyDescent="0.25">
      <c r="A14" s="2">
        <v>45671</v>
      </c>
      <c r="B14" s="3" t="s">
        <v>62</v>
      </c>
      <c r="C14" s="3" t="s">
        <v>63</v>
      </c>
      <c r="D14" s="3" t="s">
        <v>34</v>
      </c>
      <c r="E14" s="3" t="s">
        <v>15</v>
      </c>
      <c r="F14" s="3" t="s">
        <v>16</v>
      </c>
      <c r="G14" s="3" t="s">
        <v>64</v>
      </c>
      <c r="H14" s="3">
        <v>4</v>
      </c>
      <c r="I14" s="3">
        <v>200</v>
      </c>
      <c r="J14" s="3">
        <v>800</v>
      </c>
      <c r="K14" s="3">
        <v>900</v>
      </c>
      <c r="L14" s="3" t="s">
        <v>18</v>
      </c>
      <c r="N14" t="str">
        <f t="shared" si="0"/>
        <v>Below Target</v>
      </c>
    </row>
    <row r="15" spans="1:17" x14ac:dyDescent="0.25">
      <c r="A15" s="2">
        <v>45672</v>
      </c>
      <c r="B15" s="3" t="s">
        <v>65</v>
      </c>
      <c r="C15" s="3" t="s">
        <v>66</v>
      </c>
      <c r="D15" s="3" t="s">
        <v>27</v>
      </c>
      <c r="E15" s="3" t="s">
        <v>22</v>
      </c>
      <c r="F15" s="3" t="s">
        <v>53</v>
      </c>
      <c r="G15" s="3" t="s">
        <v>67</v>
      </c>
      <c r="H15" s="3">
        <v>5</v>
      </c>
      <c r="I15" s="3">
        <v>25</v>
      </c>
      <c r="J15" s="3">
        <v>125</v>
      </c>
      <c r="K15" s="3">
        <v>150</v>
      </c>
      <c r="L15" s="3" t="s">
        <v>18</v>
      </c>
      <c r="N15" t="str">
        <f t="shared" si="0"/>
        <v>Below Target</v>
      </c>
    </row>
    <row r="16" spans="1:17" x14ac:dyDescent="0.25">
      <c r="A16" s="2">
        <v>45673</v>
      </c>
      <c r="B16" s="3" t="s">
        <v>68</v>
      </c>
      <c r="C16" s="3" t="s">
        <v>69</v>
      </c>
      <c r="D16" s="3" t="s">
        <v>21</v>
      </c>
      <c r="E16" s="3" t="s">
        <v>15</v>
      </c>
      <c r="F16" s="3" t="s">
        <v>35</v>
      </c>
      <c r="G16" s="3" t="s">
        <v>70</v>
      </c>
      <c r="H16" s="3">
        <v>2</v>
      </c>
      <c r="I16" s="3">
        <v>300</v>
      </c>
      <c r="J16" s="3">
        <v>600</v>
      </c>
      <c r="K16" s="3">
        <v>500</v>
      </c>
      <c r="L16" s="3" t="s">
        <v>18</v>
      </c>
      <c r="N16" t="str">
        <f t="shared" si="0"/>
        <v>Target met</v>
      </c>
    </row>
    <row r="17" spans="1:14" x14ac:dyDescent="0.25">
      <c r="A17" s="2">
        <v>45674</v>
      </c>
      <c r="B17" s="3" t="s">
        <v>71</v>
      </c>
      <c r="C17" s="3" t="s">
        <v>72</v>
      </c>
      <c r="D17" s="3" t="s">
        <v>14</v>
      </c>
      <c r="E17" s="3" t="s">
        <v>28</v>
      </c>
      <c r="F17" s="3" t="s">
        <v>29</v>
      </c>
      <c r="G17" s="3" t="s">
        <v>73</v>
      </c>
      <c r="H17" s="3"/>
      <c r="I17" s="3">
        <v>30</v>
      </c>
      <c r="J17" s="3"/>
      <c r="K17" s="3">
        <v>250</v>
      </c>
      <c r="L17" s="3" t="s">
        <v>31</v>
      </c>
      <c r="N17" t="str">
        <f t="shared" si="0"/>
        <v>Below Target</v>
      </c>
    </row>
    <row r="18" spans="1:14" x14ac:dyDescent="0.25">
      <c r="A18" s="2">
        <v>45675</v>
      </c>
      <c r="B18" s="3" t="s">
        <v>74</v>
      </c>
      <c r="C18" s="3" t="s">
        <v>75</v>
      </c>
      <c r="D18" s="3" t="s">
        <v>34</v>
      </c>
      <c r="E18" s="3" t="s">
        <v>22</v>
      </c>
      <c r="F18" s="3" t="s">
        <v>23</v>
      </c>
      <c r="G18" s="3" t="s">
        <v>24</v>
      </c>
      <c r="H18" s="3">
        <v>1</v>
      </c>
      <c r="I18" s="3">
        <v>230</v>
      </c>
      <c r="J18" s="3">
        <v>230</v>
      </c>
      <c r="K18" s="3">
        <v>250</v>
      </c>
      <c r="L18" s="3" t="s">
        <v>18</v>
      </c>
      <c r="N18" t="str">
        <f t="shared" si="0"/>
        <v>Below Target</v>
      </c>
    </row>
    <row r="19" spans="1:14" x14ac:dyDescent="0.25">
      <c r="A19" s="2">
        <v>45676</v>
      </c>
      <c r="B19" s="3" t="s">
        <v>76</v>
      </c>
      <c r="C19" s="3" t="s">
        <v>77</v>
      </c>
      <c r="D19" s="3" t="s">
        <v>27</v>
      </c>
      <c r="E19" s="3" t="s">
        <v>28</v>
      </c>
      <c r="F19" s="3" t="s">
        <v>78</v>
      </c>
      <c r="G19" s="3" t="s">
        <v>79</v>
      </c>
      <c r="H19" s="3">
        <v>6</v>
      </c>
      <c r="I19" s="3">
        <v>20</v>
      </c>
      <c r="J19" s="3">
        <v>120</v>
      </c>
      <c r="K19" s="3">
        <v>150</v>
      </c>
      <c r="L19" s="3" t="s">
        <v>18</v>
      </c>
      <c r="N19" t="str">
        <f t="shared" si="0"/>
        <v>Below Target</v>
      </c>
    </row>
    <row r="20" spans="1:14" x14ac:dyDescent="0.25">
      <c r="A20" s="2">
        <v>45677</v>
      </c>
      <c r="B20" s="3" t="s">
        <v>80</v>
      </c>
      <c r="C20" s="3" t="s">
        <v>81</v>
      </c>
      <c r="D20" s="3" t="s">
        <v>14</v>
      </c>
      <c r="E20" s="3" t="s">
        <v>15</v>
      </c>
      <c r="F20" s="3" t="s">
        <v>49</v>
      </c>
      <c r="G20" s="3" t="s">
        <v>82</v>
      </c>
      <c r="H20" s="3">
        <v>3</v>
      </c>
      <c r="I20" s="3">
        <v>320</v>
      </c>
      <c r="J20" s="3">
        <v>960</v>
      </c>
      <c r="K20" s="3">
        <v>1000</v>
      </c>
      <c r="L20" s="3" t="s">
        <v>18</v>
      </c>
      <c r="N20" t="str">
        <f t="shared" si="0"/>
        <v>Below Target</v>
      </c>
    </row>
    <row r="21" spans="1:14" x14ac:dyDescent="0.25">
      <c r="A21" s="2">
        <v>45678</v>
      </c>
      <c r="B21" s="3" t="s">
        <v>83</v>
      </c>
      <c r="C21" s="3" t="s">
        <v>84</v>
      </c>
      <c r="D21" s="3" t="s">
        <v>21</v>
      </c>
      <c r="E21" s="3" t="s">
        <v>22</v>
      </c>
      <c r="F21" s="3" t="s">
        <v>53</v>
      </c>
      <c r="G21" s="3" t="s">
        <v>85</v>
      </c>
      <c r="H21" s="3"/>
      <c r="I21" s="3">
        <v>35</v>
      </c>
      <c r="J21" s="3"/>
      <c r="K21" s="3">
        <v>175</v>
      </c>
      <c r="L21" s="3" t="s">
        <v>31</v>
      </c>
      <c r="N21" t="str">
        <f t="shared" si="0"/>
        <v>Below Target</v>
      </c>
    </row>
    <row r="22" spans="1:14" x14ac:dyDescent="0.25">
      <c r="A22" s="2">
        <v>45679</v>
      </c>
      <c r="B22" s="3" t="s">
        <v>86</v>
      </c>
      <c r="C22" s="3" t="s">
        <v>87</v>
      </c>
      <c r="D22" s="3" t="s">
        <v>27</v>
      </c>
      <c r="E22" s="3" t="s">
        <v>15</v>
      </c>
      <c r="F22" s="3" t="s">
        <v>16</v>
      </c>
      <c r="G22" s="3" t="s">
        <v>88</v>
      </c>
      <c r="H22" s="3">
        <v>5</v>
      </c>
      <c r="I22" s="3">
        <v>100</v>
      </c>
      <c r="J22" s="3">
        <v>500</v>
      </c>
      <c r="K22" s="3">
        <v>600</v>
      </c>
      <c r="L22" s="3" t="s">
        <v>18</v>
      </c>
      <c r="N22" t="str">
        <f t="shared" si="0"/>
        <v>Below Target</v>
      </c>
    </row>
    <row r="23" spans="1:14" x14ac:dyDescent="0.25">
      <c r="A23" s="2">
        <v>45680</v>
      </c>
      <c r="B23" s="3" t="s">
        <v>89</v>
      </c>
      <c r="C23" s="3" t="s">
        <v>90</v>
      </c>
      <c r="D23" s="3" t="s">
        <v>34</v>
      </c>
      <c r="E23" s="3" t="s">
        <v>22</v>
      </c>
      <c r="F23" s="3" t="s">
        <v>23</v>
      </c>
      <c r="G23" s="3" t="s">
        <v>24</v>
      </c>
      <c r="H23" s="3">
        <v>3</v>
      </c>
      <c r="I23" s="3">
        <v>210</v>
      </c>
      <c r="J23" s="3">
        <v>630</v>
      </c>
      <c r="K23" s="3">
        <v>700</v>
      </c>
      <c r="L23" s="3" t="s">
        <v>18</v>
      </c>
      <c r="N23" t="str">
        <f t="shared" si="0"/>
        <v>Below Target</v>
      </c>
    </row>
    <row r="24" spans="1:14" x14ac:dyDescent="0.25">
      <c r="A24" s="2">
        <v>45681</v>
      </c>
      <c r="B24" s="3" t="s">
        <v>91</v>
      </c>
      <c r="C24" s="3" t="s">
        <v>92</v>
      </c>
      <c r="D24" s="3" t="s">
        <v>14</v>
      </c>
      <c r="E24" s="3" t="s">
        <v>28</v>
      </c>
      <c r="F24" s="3" t="s">
        <v>93</v>
      </c>
      <c r="G24" s="3" t="s">
        <v>94</v>
      </c>
      <c r="H24" s="3"/>
      <c r="I24" s="3">
        <v>45</v>
      </c>
      <c r="J24" s="3"/>
      <c r="K24" s="3">
        <v>250</v>
      </c>
      <c r="L24" s="3" t="s">
        <v>31</v>
      </c>
      <c r="N24" t="str">
        <f t="shared" si="0"/>
        <v>Below Target</v>
      </c>
    </row>
    <row r="25" spans="1:14" x14ac:dyDescent="0.25">
      <c r="A25" s="2">
        <v>45682</v>
      </c>
      <c r="B25" s="3" t="s">
        <v>95</v>
      </c>
      <c r="C25" s="3" t="s">
        <v>96</v>
      </c>
      <c r="D25" s="3" t="s">
        <v>21</v>
      </c>
      <c r="E25" s="3" t="s">
        <v>15</v>
      </c>
      <c r="F25" s="3" t="s">
        <v>35</v>
      </c>
      <c r="G25" s="3" t="s">
        <v>97</v>
      </c>
      <c r="H25" s="3">
        <v>2</v>
      </c>
      <c r="I25" s="3">
        <v>350</v>
      </c>
      <c r="J25" s="3">
        <v>700</v>
      </c>
      <c r="K25" s="3">
        <v>800</v>
      </c>
      <c r="L25" s="3" t="s">
        <v>18</v>
      </c>
      <c r="N25" t="str">
        <f t="shared" si="0"/>
        <v>Below Target</v>
      </c>
    </row>
    <row r="26" spans="1:14" x14ac:dyDescent="0.25">
      <c r="A26" s="2">
        <v>45683</v>
      </c>
      <c r="B26" s="3" t="s">
        <v>98</v>
      </c>
      <c r="C26" s="3" t="s">
        <v>99</v>
      </c>
      <c r="D26" s="3" t="s">
        <v>27</v>
      </c>
      <c r="E26" s="3" t="s">
        <v>22</v>
      </c>
      <c r="F26" s="3" t="s">
        <v>39</v>
      </c>
      <c r="G26" s="3" t="s">
        <v>100</v>
      </c>
      <c r="H26" s="3">
        <v>1</v>
      </c>
      <c r="I26" s="3">
        <v>900</v>
      </c>
      <c r="J26" s="3">
        <v>900</v>
      </c>
      <c r="K26" s="3">
        <v>950</v>
      </c>
      <c r="L26" s="3" t="s">
        <v>18</v>
      </c>
      <c r="N26" t="str">
        <f t="shared" si="0"/>
        <v>Below Target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73AD2-7D00-4434-B693-2504ABE7F865}">
  <dimension ref="A1:S26"/>
  <sheetViews>
    <sheetView topLeftCell="A6" zoomScale="98" workbookViewId="0">
      <selection activeCell="N5" sqref="N5"/>
    </sheetView>
  </sheetViews>
  <sheetFormatPr defaultRowHeight="15" x14ac:dyDescent="0.25"/>
  <cols>
    <col min="1" max="1" width="10.7109375" bestFit="1" customWidth="1"/>
    <col min="2" max="2" width="8.5703125" bestFit="1" customWidth="1"/>
    <col min="3" max="3" width="15.42578125" bestFit="1" customWidth="1"/>
    <col min="4" max="4" width="7.140625" bestFit="1" customWidth="1"/>
    <col min="5" max="5" width="14.5703125" bestFit="1" customWidth="1"/>
    <col min="6" max="6" width="12.85546875" bestFit="1" customWidth="1"/>
    <col min="7" max="7" width="16.7109375" bestFit="1" customWidth="1"/>
    <col min="8" max="8" width="8.7109375" bestFit="1" customWidth="1"/>
    <col min="9" max="9" width="9.7109375" bestFit="1" customWidth="1"/>
    <col min="10" max="10" width="5.5703125" bestFit="1" customWidth="1"/>
    <col min="11" max="11" width="6.5703125" bestFit="1" customWidth="1"/>
    <col min="12" max="12" width="12" bestFit="1" customWidth="1"/>
    <col min="14" max="14" width="11.140625" bestFit="1" customWidth="1"/>
    <col min="15" max="15" width="9.42578125" bestFit="1" customWidth="1"/>
    <col min="16" max="16" width="18" bestFit="1" customWidth="1"/>
    <col min="17" max="17" width="12.7109375" bestFit="1" customWidth="1"/>
    <col min="18" max="18" width="15.85546875" bestFit="1" customWidth="1"/>
    <col min="19" max="19" width="161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9" x14ac:dyDescent="0.25">
      <c r="A2" s="2">
        <v>45659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>
        <v>2</v>
      </c>
      <c r="I2" s="3">
        <v>120</v>
      </c>
      <c r="J2" s="3">
        <v>240</v>
      </c>
      <c r="K2" s="3">
        <v>300</v>
      </c>
      <c r="L2" s="3" t="s">
        <v>18</v>
      </c>
    </row>
    <row r="3" spans="1:19" x14ac:dyDescent="0.25">
      <c r="A3" s="2">
        <v>45660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>
        <v>3</v>
      </c>
      <c r="I3" s="3">
        <v>220</v>
      </c>
      <c r="J3" s="3">
        <v>660</v>
      </c>
      <c r="K3" s="3">
        <v>700</v>
      </c>
      <c r="L3" s="3" t="s">
        <v>18</v>
      </c>
    </row>
    <row r="4" spans="1:19" x14ac:dyDescent="0.25">
      <c r="A4" s="2">
        <v>45661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>
        <v>5</v>
      </c>
      <c r="I4" s="3">
        <v>25</v>
      </c>
      <c r="J4" s="3">
        <v>125</v>
      </c>
      <c r="K4" s="3">
        <v>200</v>
      </c>
      <c r="L4" s="3" t="s">
        <v>31</v>
      </c>
      <c r="N4" s="4" t="s">
        <v>124</v>
      </c>
      <c r="O4" s="4" t="s">
        <v>125</v>
      </c>
      <c r="P4" t="s">
        <v>126</v>
      </c>
      <c r="Q4" t="s">
        <v>127</v>
      </c>
      <c r="R4" t="s">
        <v>128</v>
      </c>
      <c r="S4" t="s">
        <v>129</v>
      </c>
    </row>
    <row r="5" spans="1:19" x14ac:dyDescent="0.25">
      <c r="A5" s="2">
        <v>45662</v>
      </c>
      <c r="B5" s="3" t="s">
        <v>32</v>
      </c>
      <c r="C5" s="3" t="s">
        <v>33</v>
      </c>
      <c r="D5" s="3" t="s">
        <v>34</v>
      </c>
      <c r="E5" s="3" t="s">
        <v>15</v>
      </c>
      <c r="F5" s="3" t="s">
        <v>35</v>
      </c>
      <c r="G5" s="3" t="s">
        <v>36</v>
      </c>
      <c r="H5" s="3">
        <v>1</v>
      </c>
      <c r="I5" s="3">
        <v>450</v>
      </c>
      <c r="J5" s="3">
        <v>450</v>
      </c>
      <c r="K5" s="3">
        <v>500</v>
      </c>
      <c r="L5" s="3"/>
      <c r="N5" s="3">
        <v>9705</v>
      </c>
      <c r="O5" s="3">
        <v>510.79</v>
      </c>
      <c r="P5" t="s">
        <v>132</v>
      </c>
      <c r="Q5" t="s">
        <v>133</v>
      </c>
      <c r="R5">
        <v>6</v>
      </c>
      <c r="S5">
        <v>2</v>
      </c>
    </row>
    <row r="6" spans="1:19" ht="26.25" customHeight="1" x14ac:dyDescent="0.25">
      <c r="A6" s="2">
        <v>45663</v>
      </c>
      <c r="B6" s="3" t="s">
        <v>37</v>
      </c>
      <c r="C6" s="3" t="s">
        <v>38</v>
      </c>
      <c r="D6" s="3" t="s">
        <v>14</v>
      </c>
      <c r="E6" s="3" t="s">
        <v>22</v>
      </c>
      <c r="F6" s="3" t="s">
        <v>39</v>
      </c>
      <c r="G6" s="3" t="s">
        <v>40</v>
      </c>
      <c r="H6" s="3">
        <v>2</v>
      </c>
      <c r="I6" s="3">
        <v>650</v>
      </c>
      <c r="J6" s="3">
        <v>1300</v>
      </c>
      <c r="K6" s="3">
        <v>1400</v>
      </c>
      <c r="L6" s="3" t="s">
        <v>18</v>
      </c>
      <c r="S6" t="s">
        <v>134</v>
      </c>
    </row>
    <row r="7" spans="1:19" x14ac:dyDescent="0.25">
      <c r="A7" s="2">
        <v>45664</v>
      </c>
      <c r="B7" s="3" t="s">
        <v>41</v>
      </c>
      <c r="C7" s="3" t="s">
        <v>42</v>
      </c>
      <c r="D7" s="3" t="s">
        <v>21</v>
      </c>
      <c r="E7" s="3" t="s">
        <v>15</v>
      </c>
      <c r="F7" s="3" t="s">
        <v>16</v>
      </c>
      <c r="G7" s="3" t="s">
        <v>17</v>
      </c>
      <c r="H7" s="3">
        <v>3</v>
      </c>
      <c r="I7" s="3">
        <v>115</v>
      </c>
      <c r="J7" s="3">
        <v>345</v>
      </c>
      <c r="K7" s="3">
        <v>350</v>
      </c>
      <c r="L7" s="3" t="s">
        <v>18</v>
      </c>
    </row>
    <row r="8" spans="1:19" x14ac:dyDescent="0.25">
      <c r="A8" s="2">
        <v>45665</v>
      </c>
      <c r="B8" s="3" t="s">
        <v>43</v>
      </c>
      <c r="C8" s="3" t="s">
        <v>44</v>
      </c>
      <c r="D8" s="3" t="s">
        <v>27</v>
      </c>
      <c r="E8" s="3" t="s">
        <v>28</v>
      </c>
      <c r="F8" s="3" t="s">
        <v>45</v>
      </c>
      <c r="G8" s="3" t="s">
        <v>46</v>
      </c>
      <c r="H8" s="3">
        <v>8</v>
      </c>
      <c r="I8" s="3">
        <v>15</v>
      </c>
      <c r="J8" s="3">
        <v>120</v>
      </c>
      <c r="K8" s="3">
        <v>150</v>
      </c>
      <c r="L8" s="3" t="s">
        <v>18</v>
      </c>
    </row>
    <row r="9" spans="1:19" x14ac:dyDescent="0.25">
      <c r="A9" s="2">
        <v>45666</v>
      </c>
      <c r="B9" s="3" t="s">
        <v>47</v>
      </c>
      <c r="C9" s="3" t="s">
        <v>48</v>
      </c>
      <c r="D9" s="3" t="s">
        <v>14</v>
      </c>
      <c r="E9" s="3" t="s">
        <v>15</v>
      </c>
      <c r="F9" s="3" t="s">
        <v>49</v>
      </c>
      <c r="G9" s="3" t="s">
        <v>50</v>
      </c>
      <c r="H9" s="3"/>
      <c r="I9" s="3">
        <v>300</v>
      </c>
      <c r="J9" s="3"/>
      <c r="K9" s="3">
        <v>600</v>
      </c>
      <c r="L9" s="3" t="s">
        <v>31</v>
      </c>
    </row>
    <row r="10" spans="1:19" x14ac:dyDescent="0.25">
      <c r="A10" s="2">
        <v>45667</v>
      </c>
      <c r="B10" s="3" t="s">
        <v>51</v>
      </c>
      <c r="C10" s="3" t="s">
        <v>52</v>
      </c>
      <c r="D10" s="3" t="s">
        <v>34</v>
      </c>
      <c r="E10" s="3" t="s">
        <v>22</v>
      </c>
      <c r="F10" s="3" t="s">
        <v>53</v>
      </c>
      <c r="G10" s="3" t="s">
        <v>54</v>
      </c>
      <c r="H10" s="3">
        <v>10</v>
      </c>
      <c r="I10" s="3">
        <v>10</v>
      </c>
      <c r="J10" s="3">
        <v>100</v>
      </c>
      <c r="K10" s="3">
        <v>150</v>
      </c>
      <c r="L10" s="3" t="s">
        <v>18</v>
      </c>
    </row>
    <row r="11" spans="1:19" x14ac:dyDescent="0.25">
      <c r="A11" s="2">
        <v>45668</v>
      </c>
      <c r="B11" s="3" t="s">
        <v>55</v>
      </c>
      <c r="C11" s="3" t="s">
        <v>56</v>
      </c>
      <c r="D11" s="3" t="s">
        <v>21</v>
      </c>
      <c r="E11" s="3" t="s">
        <v>28</v>
      </c>
      <c r="F11" s="3" t="s">
        <v>29</v>
      </c>
      <c r="G11" s="3" t="s">
        <v>30</v>
      </c>
      <c r="H11" s="3"/>
      <c r="I11" s="3">
        <v>25</v>
      </c>
      <c r="J11" s="3"/>
      <c r="K11" s="3">
        <v>200</v>
      </c>
      <c r="L11" s="3" t="s">
        <v>31</v>
      </c>
    </row>
    <row r="12" spans="1:19" x14ac:dyDescent="0.25">
      <c r="A12" s="2">
        <v>45669</v>
      </c>
      <c r="B12" s="3" t="s">
        <v>57</v>
      </c>
      <c r="C12" s="3" t="s">
        <v>58</v>
      </c>
      <c r="D12" s="3" t="s">
        <v>27</v>
      </c>
      <c r="E12" s="3" t="s">
        <v>15</v>
      </c>
      <c r="F12" s="3" t="s">
        <v>35</v>
      </c>
      <c r="G12" s="3" t="s">
        <v>59</v>
      </c>
      <c r="H12" s="3">
        <v>2</v>
      </c>
      <c r="I12" s="3">
        <v>400</v>
      </c>
      <c r="J12" s="3">
        <v>800</v>
      </c>
      <c r="K12" s="3">
        <v>750</v>
      </c>
      <c r="L12" s="3" t="s">
        <v>18</v>
      </c>
    </row>
    <row r="13" spans="1:19" x14ac:dyDescent="0.25">
      <c r="A13" s="2">
        <v>45670</v>
      </c>
      <c r="B13" s="3" t="s">
        <v>60</v>
      </c>
      <c r="C13" s="3" t="s">
        <v>61</v>
      </c>
      <c r="D13" s="3" t="s">
        <v>14</v>
      </c>
      <c r="E13" s="3" t="s">
        <v>22</v>
      </c>
      <c r="F13" s="3" t="s">
        <v>39</v>
      </c>
      <c r="G13" s="3" t="s">
        <v>40</v>
      </c>
      <c r="H13" s="3"/>
      <c r="I13" s="3">
        <v>650</v>
      </c>
      <c r="J13" s="3"/>
      <c r="K13" s="3">
        <v>1400</v>
      </c>
      <c r="L13" s="3" t="s">
        <v>31</v>
      </c>
    </row>
    <row r="14" spans="1:19" x14ac:dyDescent="0.25">
      <c r="A14" s="2">
        <v>45671</v>
      </c>
      <c r="B14" s="3" t="s">
        <v>62</v>
      </c>
      <c r="C14" s="3" t="s">
        <v>63</v>
      </c>
      <c r="D14" s="3" t="s">
        <v>34</v>
      </c>
      <c r="E14" s="3" t="s">
        <v>15</v>
      </c>
      <c r="F14" s="3" t="s">
        <v>16</v>
      </c>
      <c r="G14" s="3" t="s">
        <v>64</v>
      </c>
      <c r="H14" s="3">
        <v>4</v>
      </c>
      <c r="I14" s="3">
        <v>200</v>
      </c>
      <c r="J14" s="3">
        <v>800</v>
      </c>
      <c r="K14" s="3">
        <v>900</v>
      </c>
      <c r="L14" s="3" t="s">
        <v>18</v>
      </c>
    </row>
    <row r="15" spans="1:19" x14ac:dyDescent="0.25">
      <c r="A15" s="2">
        <v>45672</v>
      </c>
      <c r="B15" s="3" t="s">
        <v>65</v>
      </c>
      <c r="C15" s="3" t="s">
        <v>66</v>
      </c>
      <c r="D15" s="3" t="s">
        <v>27</v>
      </c>
      <c r="E15" s="3" t="s">
        <v>22</v>
      </c>
      <c r="F15" s="3" t="s">
        <v>53</v>
      </c>
      <c r="G15" s="3" t="s">
        <v>67</v>
      </c>
      <c r="H15" s="3">
        <v>5</v>
      </c>
      <c r="I15" s="3">
        <v>25</v>
      </c>
      <c r="J15" s="3">
        <v>125</v>
      </c>
      <c r="K15" s="3">
        <v>150</v>
      </c>
      <c r="L15" s="3" t="s">
        <v>18</v>
      </c>
    </row>
    <row r="16" spans="1:19" x14ac:dyDescent="0.25">
      <c r="A16" s="2">
        <v>45673</v>
      </c>
      <c r="B16" s="3" t="s">
        <v>68</v>
      </c>
      <c r="C16" s="3" t="s">
        <v>69</v>
      </c>
      <c r="D16" s="3" t="s">
        <v>21</v>
      </c>
      <c r="E16" s="3" t="s">
        <v>15</v>
      </c>
      <c r="F16" s="3" t="s">
        <v>35</v>
      </c>
      <c r="G16" s="3" t="s">
        <v>70</v>
      </c>
      <c r="H16" s="3">
        <v>2</v>
      </c>
      <c r="I16" s="3">
        <v>300</v>
      </c>
      <c r="J16" s="3">
        <v>600</v>
      </c>
      <c r="K16" s="3">
        <v>500</v>
      </c>
      <c r="L16" s="3" t="s">
        <v>18</v>
      </c>
    </row>
    <row r="17" spans="1:12" x14ac:dyDescent="0.25">
      <c r="A17" s="2">
        <v>45674</v>
      </c>
      <c r="B17" s="3" t="s">
        <v>71</v>
      </c>
      <c r="C17" s="3" t="s">
        <v>72</v>
      </c>
      <c r="D17" s="3" t="s">
        <v>14</v>
      </c>
      <c r="E17" s="3" t="s">
        <v>28</v>
      </c>
      <c r="F17" s="3" t="s">
        <v>29</v>
      </c>
      <c r="G17" s="3" t="s">
        <v>73</v>
      </c>
      <c r="H17" s="3"/>
      <c r="I17" s="3">
        <v>30</v>
      </c>
      <c r="J17" s="3"/>
      <c r="K17" s="3">
        <v>250</v>
      </c>
      <c r="L17" s="3" t="s">
        <v>31</v>
      </c>
    </row>
    <row r="18" spans="1:12" x14ac:dyDescent="0.25">
      <c r="A18" s="2">
        <v>45675</v>
      </c>
      <c r="B18" s="3" t="s">
        <v>74</v>
      </c>
      <c r="C18" s="3" t="s">
        <v>75</v>
      </c>
      <c r="D18" s="3" t="s">
        <v>34</v>
      </c>
      <c r="E18" s="3" t="s">
        <v>22</v>
      </c>
      <c r="F18" s="3" t="s">
        <v>23</v>
      </c>
      <c r="G18" s="3" t="s">
        <v>24</v>
      </c>
      <c r="H18" s="3">
        <v>1</v>
      </c>
      <c r="I18" s="3">
        <v>230</v>
      </c>
      <c r="J18" s="3">
        <v>230</v>
      </c>
      <c r="K18" s="3">
        <v>250</v>
      </c>
      <c r="L18" s="3" t="s">
        <v>18</v>
      </c>
    </row>
    <row r="19" spans="1:12" x14ac:dyDescent="0.25">
      <c r="A19" s="2">
        <v>45676</v>
      </c>
      <c r="B19" s="3" t="s">
        <v>76</v>
      </c>
      <c r="C19" s="3" t="s">
        <v>77</v>
      </c>
      <c r="D19" s="3" t="s">
        <v>27</v>
      </c>
      <c r="E19" s="3" t="s">
        <v>28</v>
      </c>
      <c r="F19" s="3" t="s">
        <v>78</v>
      </c>
      <c r="G19" s="3" t="s">
        <v>79</v>
      </c>
      <c r="H19" s="3">
        <v>6</v>
      </c>
      <c r="I19" s="3">
        <v>20</v>
      </c>
      <c r="J19" s="3">
        <v>120</v>
      </c>
      <c r="K19" s="3">
        <v>150</v>
      </c>
      <c r="L19" s="3" t="s">
        <v>18</v>
      </c>
    </row>
    <row r="20" spans="1:12" x14ac:dyDescent="0.25">
      <c r="A20" s="2">
        <v>45677</v>
      </c>
      <c r="B20" s="3" t="s">
        <v>80</v>
      </c>
      <c r="C20" s="3" t="s">
        <v>81</v>
      </c>
      <c r="D20" s="3" t="s">
        <v>14</v>
      </c>
      <c r="E20" s="3" t="s">
        <v>15</v>
      </c>
      <c r="F20" s="3" t="s">
        <v>49</v>
      </c>
      <c r="G20" s="3" t="s">
        <v>82</v>
      </c>
      <c r="H20" s="3">
        <v>3</v>
      </c>
      <c r="I20" s="3">
        <v>320</v>
      </c>
      <c r="J20" s="3">
        <v>960</v>
      </c>
      <c r="K20" s="3">
        <v>1000</v>
      </c>
      <c r="L20" s="3" t="s">
        <v>18</v>
      </c>
    </row>
    <row r="21" spans="1:12" x14ac:dyDescent="0.25">
      <c r="A21" s="2">
        <v>45678</v>
      </c>
      <c r="B21" s="3" t="s">
        <v>83</v>
      </c>
      <c r="C21" s="3" t="s">
        <v>84</v>
      </c>
      <c r="D21" s="3" t="s">
        <v>21</v>
      </c>
      <c r="E21" s="3" t="s">
        <v>22</v>
      </c>
      <c r="F21" s="3" t="s">
        <v>53</v>
      </c>
      <c r="G21" s="3" t="s">
        <v>85</v>
      </c>
      <c r="H21" s="3"/>
      <c r="I21" s="3">
        <v>35</v>
      </c>
      <c r="J21" s="3"/>
      <c r="K21" s="3">
        <v>175</v>
      </c>
      <c r="L21" s="3" t="s">
        <v>31</v>
      </c>
    </row>
    <row r="22" spans="1:12" x14ac:dyDescent="0.25">
      <c r="A22" s="2">
        <v>45679</v>
      </c>
      <c r="B22" s="3" t="s">
        <v>86</v>
      </c>
      <c r="C22" s="3" t="s">
        <v>87</v>
      </c>
      <c r="D22" s="3" t="s">
        <v>27</v>
      </c>
      <c r="E22" s="3" t="s">
        <v>15</v>
      </c>
      <c r="F22" s="3" t="s">
        <v>16</v>
      </c>
      <c r="G22" s="3" t="s">
        <v>88</v>
      </c>
      <c r="H22" s="3">
        <v>5</v>
      </c>
      <c r="I22" s="3">
        <v>100</v>
      </c>
      <c r="J22" s="3">
        <v>500</v>
      </c>
      <c r="K22" s="3">
        <v>600</v>
      </c>
      <c r="L22" s="3" t="s">
        <v>18</v>
      </c>
    </row>
    <row r="23" spans="1:12" x14ac:dyDescent="0.25">
      <c r="A23" s="2">
        <v>45680</v>
      </c>
      <c r="B23" s="3" t="s">
        <v>89</v>
      </c>
      <c r="C23" s="3" t="s">
        <v>90</v>
      </c>
      <c r="D23" s="3" t="s">
        <v>34</v>
      </c>
      <c r="E23" s="3" t="s">
        <v>22</v>
      </c>
      <c r="F23" s="3" t="s">
        <v>23</v>
      </c>
      <c r="G23" s="3" t="s">
        <v>24</v>
      </c>
      <c r="H23" s="3">
        <v>3</v>
      </c>
      <c r="I23" s="3">
        <v>210</v>
      </c>
      <c r="J23" s="3">
        <v>630</v>
      </c>
      <c r="K23" s="3">
        <v>700</v>
      </c>
      <c r="L23" s="3" t="s">
        <v>18</v>
      </c>
    </row>
    <row r="24" spans="1:12" x14ac:dyDescent="0.25">
      <c r="A24" s="2">
        <v>45681</v>
      </c>
      <c r="B24" s="3" t="s">
        <v>91</v>
      </c>
      <c r="C24" s="3" t="s">
        <v>92</v>
      </c>
      <c r="D24" s="3" t="s">
        <v>14</v>
      </c>
      <c r="E24" s="3" t="s">
        <v>28</v>
      </c>
      <c r="F24" s="3" t="s">
        <v>93</v>
      </c>
      <c r="G24" s="3" t="s">
        <v>94</v>
      </c>
      <c r="H24" s="3"/>
      <c r="I24" s="3">
        <v>45</v>
      </c>
      <c r="J24" s="3"/>
      <c r="K24" s="3">
        <v>250</v>
      </c>
      <c r="L24" s="3" t="s">
        <v>31</v>
      </c>
    </row>
    <row r="25" spans="1:12" x14ac:dyDescent="0.25">
      <c r="A25" s="2">
        <v>45682</v>
      </c>
      <c r="B25" s="3" t="s">
        <v>95</v>
      </c>
      <c r="C25" s="3" t="s">
        <v>96</v>
      </c>
      <c r="D25" s="3" t="s">
        <v>21</v>
      </c>
      <c r="E25" s="3" t="s">
        <v>15</v>
      </c>
      <c r="F25" s="3" t="s">
        <v>35</v>
      </c>
      <c r="G25" s="3" t="s">
        <v>97</v>
      </c>
      <c r="H25" s="3">
        <v>2</v>
      </c>
      <c r="I25" s="3">
        <v>350</v>
      </c>
      <c r="J25" s="3">
        <v>700</v>
      </c>
      <c r="K25" s="3">
        <v>800</v>
      </c>
      <c r="L25" s="3" t="s">
        <v>18</v>
      </c>
    </row>
    <row r="26" spans="1:12" x14ac:dyDescent="0.25">
      <c r="A26" s="2">
        <v>45683</v>
      </c>
      <c r="B26" s="3" t="s">
        <v>98</v>
      </c>
      <c r="C26" s="3" t="s">
        <v>99</v>
      </c>
      <c r="D26" s="3" t="s">
        <v>27</v>
      </c>
      <c r="E26" s="3" t="s">
        <v>22</v>
      </c>
      <c r="F26" s="3" t="s">
        <v>39</v>
      </c>
      <c r="G26" s="3" t="s">
        <v>100</v>
      </c>
      <c r="H26" s="3">
        <v>1</v>
      </c>
      <c r="I26" s="3">
        <v>900</v>
      </c>
      <c r="J26" s="3">
        <v>900</v>
      </c>
      <c r="K26" s="3">
        <v>950</v>
      </c>
      <c r="L26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AVERAGEIF,AVERAGE AND TRIM</vt:lpstr>
      <vt:lpstr>COUNTA ,COUNT AND COUNTBLANK</vt:lpstr>
      <vt:lpstr>MAX,MIN,INDEX AND MATCH</vt:lpstr>
      <vt:lpstr>LEN AND TRIM</vt:lpstr>
      <vt:lpstr>IF AND COUNTIF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len</cp:lastModifiedBy>
  <dcterms:created xsi:type="dcterms:W3CDTF">2015-06-05T18:17:20Z</dcterms:created>
  <dcterms:modified xsi:type="dcterms:W3CDTF">2025-11-05T06:32:09Z</dcterms:modified>
</cp:coreProperties>
</file>